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ishti\Downloads\"/>
    </mc:Choice>
  </mc:AlternateContent>
  <bookViews>
    <workbookView xWindow="0" yWindow="0" windowWidth="20490" windowHeight="7755" activeTab="1"/>
  </bookViews>
  <sheets>
    <sheet name="Form responses 1" sheetId="1" r:id="rId1"/>
    <sheet name="Copy of Form responses 1" sheetId="2" r:id="rId2"/>
    <sheet name="Analysis" sheetId="3" r:id="rId3"/>
    <sheet name="Model Analysis" sheetId="8" r:id="rId4"/>
    <sheet name="Overall Analysis" sheetId="7" r:id="rId5"/>
    <sheet name="Theme wise Analysis" sheetId="5" r:id="rId6"/>
    <sheet name="Sheet2" sheetId="4" r:id="rId7"/>
  </sheets>
  <calcPr calcId="152511"/>
</workbook>
</file>

<file path=xl/calcChain.xml><?xml version="1.0" encoding="utf-8"?>
<calcChain xmlns="http://schemas.openxmlformats.org/spreadsheetml/2006/main">
  <c r="F10" i="8" l="1"/>
  <c r="E10" i="8"/>
  <c r="D10" i="8"/>
  <c r="C10" i="8"/>
  <c r="G10" i="8" s="1"/>
  <c r="F9" i="8"/>
  <c r="E9" i="8"/>
  <c r="D9" i="8"/>
  <c r="C9" i="8"/>
  <c r="G9" i="8" s="1"/>
  <c r="F8" i="8"/>
  <c r="E8" i="8"/>
  <c r="D8" i="8"/>
  <c r="C8" i="8"/>
  <c r="G8" i="8" s="1"/>
  <c r="F7" i="8"/>
  <c r="E7" i="8"/>
  <c r="D7" i="8"/>
  <c r="C7" i="8"/>
  <c r="G7" i="8" s="1"/>
  <c r="F6" i="8"/>
  <c r="E6" i="8"/>
  <c r="D6" i="8"/>
  <c r="C6" i="8"/>
  <c r="G6" i="8" s="1"/>
  <c r="F5" i="8"/>
  <c r="E5" i="8"/>
  <c r="D5" i="8"/>
  <c r="C5" i="8"/>
  <c r="G5" i="8" s="1"/>
  <c r="F4" i="8"/>
  <c r="E4" i="8"/>
  <c r="D4" i="8"/>
  <c r="C4" i="8"/>
  <c r="G4" i="8" s="1"/>
  <c r="F3" i="8"/>
  <c r="E3" i="8"/>
  <c r="D3" i="8"/>
  <c r="C3" i="8"/>
  <c r="G3" i="8" s="1"/>
  <c r="F2" i="8"/>
  <c r="E2" i="8"/>
  <c r="D2" i="8"/>
  <c r="C2" i="8"/>
  <c r="G2" i="8" s="1"/>
  <c r="C2" i="3"/>
  <c r="D2" i="3"/>
  <c r="E2" i="3"/>
  <c r="F2" i="3"/>
  <c r="C3" i="3"/>
  <c r="D3" i="3"/>
  <c r="E3" i="3"/>
  <c r="F3" i="3"/>
  <c r="C4" i="3"/>
  <c r="D4" i="3"/>
  <c r="E4" i="3"/>
  <c r="F4" i="3"/>
  <c r="E24" i="3" s="1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D22" i="3" s="1"/>
  <c r="F8" i="3"/>
  <c r="C9" i="3"/>
  <c r="D9" i="3"/>
  <c r="E9" i="3"/>
  <c r="F9" i="3"/>
  <c r="C10" i="3"/>
  <c r="D10" i="3"/>
  <c r="E10" i="3"/>
  <c r="F10" i="3"/>
  <c r="D4" i="5"/>
  <c r="C4" i="5"/>
  <c r="B4" i="5"/>
  <c r="D3" i="5"/>
  <c r="C3" i="5"/>
  <c r="B3" i="5"/>
  <c r="D2" i="5"/>
  <c r="C2" i="5"/>
  <c r="B2" i="5"/>
  <c r="D17" i="3"/>
  <c r="C17" i="3"/>
  <c r="B17" i="3"/>
  <c r="D16" i="3"/>
  <c r="C16" i="3"/>
  <c r="B16" i="3"/>
  <c r="D15" i="3"/>
  <c r="C15" i="3"/>
  <c r="B15" i="3"/>
  <c r="B24" i="3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P17" i="2"/>
  <c r="O17" i="2"/>
  <c r="N17" i="2"/>
  <c r="M17" i="2"/>
  <c r="L17" i="2"/>
  <c r="K17" i="2"/>
  <c r="J17" i="2"/>
  <c r="I17" i="2"/>
  <c r="H17" i="2"/>
  <c r="G17" i="2"/>
  <c r="F17" i="2"/>
  <c r="E17" i="2"/>
  <c r="E23" i="3" l="1"/>
  <c r="G10" i="3"/>
  <c r="G5" i="3"/>
  <c r="C22" i="3"/>
  <c r="G7" i="3"/>
  <c r="G6" i="3"/>
  <c r="D23" i="3"/>
  <c r="D24" i="3"/>
  <c r="G9" i="3"/>
  <c r="G8" i="3"/>
  <c r="C24" i="3"/>
  <c r="F24" i="3" s="1"/>
  <c r="C23" i="3"/>
  <c r="G2" i="3"/>
  <c r="E22" i="3"/>
  <c r="G4" i="3"/>
  <c r="C18" i="3"/>
  <c r="G3" i="3"/>
  <c r="D18" i="3"/>
  <c r="B18" i="3"/>
  <c r="B22" i="3"/>
  <c r="B23" i="3"/>
  <c r="F23" i="3" l="1"/>
  <c r="F22" i="3"/>
</calcChain>
</file>

<file path=xl/sharedStrings.xml><?xml version="1.0" encoding="utf-8"?>
<sst xmlns="http://schemas.openxmlformats.org/spreadsheetml/2006/main" count="748" uniqueCount="91">
  <si>
    <t>Timestamp</t>
  </si>
  <si>
    <t xml:space="preserve">Full Name </t>
  </si>
  <si>
    <t xml:space="preserve">  Age  </t>
  </si>
  <si>
    <t xml:space="preserve">  Consent  </t>
  </si>
  <si>
    <t>Rate Theme 1 Image A based on the following questions:  [Visual appeal]</t>
  </si>
  <si>
    <t>Rate Theme 1 Image A based on the following questions:  [Raksha Bandhan relevance]</t>
  </si>
  <si>
    <t>Rate Theme 1 Image A based on the following questions:  [Text readability and accuracy]</t>
  </si>
  <si>
    <t>Rate Theme 1 Image A based on the following questions:  [E-commerce usability]</t>
  </si>
  <si>
    <t>Rate Theme1 Image B based on the following questions: [Visual appeal]</t>
  </si>
  <si>
    <t>Rate Theme1 Image B based on the following questions: [Raksha Bandhan relevance]</t>
  </si>
  <si>
    <t>Rate Theme1 Image B based on the following questions: [Text readability and accuracy]</t>
  </si>
  <si>
    <t>Rate Theme1 Image B based on the following questions: [E-commerce usability]</t>
  </si>
  <si>
    <t>Rate Theme 1 Image C based on the following questions: [Visual appeal]</t>
  </si>
  <si>
    <t>Rate Theme 1 Image C based on the following questions: [Raksha Bandhan relevance]</t>
  </si>
  <si>
    <t>Rate Theme 1 Image C based on the following questions: [Text readability and accuracy]</t>
  </si>
  <si>
    <t>Rate Theme 1 Image C based on the following questions: [E-commerce usability]</t>
  </si>
  <si>
    <t xml:space="preserve">Which theme 1 image would you choose for SUVARNA JEWELS’ Raksha Bandhan campaign?  </t>
  </si>
  <si>
    <t>Rate Theme 2 Image A based on the following questions:  [Visual appeal]</t>
  </si>
  <si>
    <t>Rate Theme 2 Image A based on the following questions:  [Raksha Bandhan relevance]</t>
  </si>
  <si>
    <t>Rate Theme 2 Image A based on the following questions:  [Text readability and accuracy]</t>
  </si>
  <si>
    <t>Rate Theme 2 Image A based on the following questions:  [E-commerce usability]</t>
  </si>
  <si>
    <t>Rate  Theme 2  Image B based on the following questions: [Visual appeal]</t>
  </si>
  <si>
    <t>Rate  Theme 2  Image B based on the following questions: [Raksha Bandhan relevance]</t>
  </si>
  <si>
    <t>Rate  Theme 2  Image B based on the following questions: [Text readability and accuracy]</t>
  </si>
  <si>
    <t>Rate  Theme 2  Image B based on the following questions: [E-commerce usability]</t>
  </si>
  <si>
    <t>Rate  Theme 2  Image C based on the following questions: [Visual appeal]</t>
  </si>
  <si>
    <t>Rate  Theme 2  Image C based on the following questions: [Raksha Bandhan relevance]</t>
  </si>
  <si>
    <t>Rate  Theme 2  Image C based on the following questions: [Text readability and accuracy]</t>
  </si>
  <si>
    <t>Rate  Theme 2  Image C based on the following questions: [E-commerce usability]</t>
  </si>
  <si>
    <t>Which  Theme 2  image would you choose for SUVARNA JEWELS’ Modern Raksha Bandhan jewellery campaign?</t>
  </si>
  <si>
    <t>Rate  Theme 3  Image A based on the following questions:  [Visual appeal]</t>
  </si>
  <si>
    <t>Rate  Theme 3  Image A based on the following questions:  [Raksha Bandhan relevance]</t>
  </si>
  <si>
    <t>Rate  Theme 3  Image A based on the following questions:  [Text readability and accuracy]</t>
  </si>
  <si>
    <t>Rate  Theme 3  Image A based on the following questions:  [E-commerce usability]</t>
  </si>
  <si>
    <t>Rate  Theme 3  Image B based on the following questions: [Visual appeal]</t>
  </si>
  <si>
    <t>Rate  Theme 3  Image B based on the following questions: [Raksha Bandhan relevance]</t>
  </si>
  <si>
    <t>Rate  Theme 3  Image B based on the following questions: [Text readability and accuracy]</t>
  </si>
  <si>
    <t>Rate  Theme 3  Image B based on the following questions: [E-commerce usability]</t>
  </si>
  <si>
    <t>Rate  Theme 3  Image C based on the following questions: [Visual appeal]</t>
  </si>
  <si>
    <t>Rate  Theme 3  Image C based on the following questions: [Raksha Bandhan relevance]</t>
  </si>
  <si>
    <t>Rate  Theme 3  Image C based on the following questions: [Text readability and accuracy]</t>
  </si>
  <si>
    <t>Rate  Theme 3  Image C based on the following questions: [E-commerce usability]</t>
  </si>
  <si>
    <t xml:space="preserve">Which  Theme 3   image would you choose for SUVARNA JEWELS’ Sibling-Gifting Raksha Bandhan campaign? </t>
  </si>
  <si>
    <t>Rohan</t>
  </si>
  <si>
    <t>18-25</t>
  </si>
  <si>
    <t>I confirm that I am 18 years or older. I voluntarily participated in this evaluation. I consent to my name, email, and responses/ratings being included in this assignment submission for hiring evaluation purposes.</t>
  </si>
  <si>
    <t>5 – Excellent</t>
  </si>
  <si>
    <t>4 – Good</t>
  </si>
  <si>
    <t>3 – Average</t>
  </si>
  <si>
    <t>Theme 1 Image A</t>
  </si>
  <si>
    <t>2 – Poor</t>
  </si>
  <si>
    <t>1 – Very Poor</t>
  </si>
  <si>
    <t>Image A</t>
  </si>
  <si>
    <t>Chhavi</t>
  </si>
  <si>
    <t>Theme 1 Image B</t>
  </si>
  <si>
    <t>Image C</t>
  </si>
  <si>
    <t>Somya</t>
  </si>
  <si>
    <t>Aadi</t>
  </si>
  <si>
    <t xml:space="preserve">Kashish pandey </t>
  </si>
  <si>
    <t>Sonia</t>
  </si>
  <si>
    <t>Image B</t>
  </si>
  <si>
    <t>Krish</t>
  </si>
  <si>
    <t>Theme 1 Image C</t>
  </si>
  <si>
    <t>Sanjana Dwivedi</t>
  </si>
  <si>
    <t>AMIT Bharadwaj</t>
  </si>
  <si>
    <t>Akshita</t>
  </si>
  <si>
    <t>Dhruv Dhiman</t>
  </si>
  <si>
    <t xml:space="preserve">Anshul </t>
  </si>
  <si>
    <t>AVERAGE</t>
  </si>
  <si>
    <t>Theme</t>
  </si>
  <si>
    <t>Image / Model</t>
  </si>
  <si>
    <t>Visual Appeal</t>
  </si>
  <si>
    <t>Rakhi Relevance</t>
  </si>
  <si>
    <t>Text Accuracy</t>
  </si>
  <si>
    <t>E-commerce Usability</t>
  </si>
  <si>
    <t>Overall Avg</t>
  </si>
  <si>
    <t>Theme 1</t>
  </si>
  <si>
    <t>A - GPT</t>
  </si>
  <si>
    <t>B - Gemini 3.5 Flash</t>
  </si>
  <si>
    <t>C - Gemini 3.1 Flash-Lite</t>
  </si>
  <si>
    <t>Theme 2</t>
  </si>
  <si>
    <t>Theme 3</t>
  </si>
  <si>
    <t>PREFERENCE VOTES</t>
  </si>
  <si>
    <t>GPT</t>
  </si>
  <si>
    <t>Gemini 3.5 Flash</t>
  </si>
  <si>
    <t>Gemini 3.1 Flash-Lite</t>
  </si>
  <si>
    <t>Total</t>
  </si>
  <si>
    <t>Final model-wise average</t>
  </si>
  <si>
    <t>Model</t>
  </si>
  <si>
    <t>Overall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</si>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</sst>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4" fontId="1" fillId="0" borderId="0" xfId="0" applyNumberFormat="1" applyFont="1" applyAlignme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/>
    <xf numFmtId="0" fontId="1" fillId="5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Font="1" applyAlignment="1"/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Form responses 1-style" pivot="0" count="4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Copy of Form responses 1-style" pivot="0" count="4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Analysis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Analysis!$C$1</c:f>
              <c:strCache>
                <c:ptCount val="1"/>
                <c:pt idx="0">
                  <c:v>Visual Appeal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Analysis!$C$2:$C$10</c:f>
              <c:numCache>
                <c:formatCode>#,##0.00</c:formatCode>
                <c:ptCount val="9"/>
                <c:pt idx="0">
                  <c:v>4.083333333333333</c:v>
                </c:pt>
                <c:pt idx="1">
                  <c:v>4.166666666666667</c:v>
                </c:pt>
                <c:pt idx="2">
                  <c:v>4.583333333333333</c:v>
                </c:pt>
                <c:pt idx="3">
                  <c:v>4.166666666666667</c:v>
                </c:pt>
                <c:pt idx="4">
                  <c:v>3.9166666666666665</c:v>
                </c:pt>
                <c:pt idx="5">
                  <c:v>3.9166666666666665</c:v>
                </c:pt>
                <c:pt idx="6">
                  <c:v>4.5</c:v>
                </c:pt>
                <c:pt idx="7">
                  <c:v>3.75</c:v>
                </c:pt>
                <c:pt idx="8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Analysis!$D$1</c:f>
              <c:strCache>
                <c:ptCount val="1"/>
                <c:pt idx="0">
                  <c:v>Rakhi Relevance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Analysis!$D$2:$D$10</c:f>
              <c:numCache>
                <c:formatCode>#,##0.00</c:formatCode>
                <c:ptCount val="9"/>
                <c:pt idx="0">
                  <c:v>3.75</c:v>
                </c:pt>
                <c:pt idx="1">
                  <c:v>4</c:v>
                </c:pt>
                <c:pt idx="2">
                  <c:v>4.166666666666667</c:v>
                </c:pt>
                <c:pt idx="3">
                  <c:v>3.8333333333333335</c:v>
                </c:pt>
                <c:pt idx="4">
                  <c:v>3.6666666666666665</c:v>
                </c:pt>
                <c:pt idx="5">
                  <c:v>3.75</c:v>
                </c:pt>
                <c:pt idx="6">
                  <c:v>4.75</c:v>
                </c:pt>
                <c:pt idx="7">
                  <c:v>4.583333333333333</c:v>
                </c:pt>
                <c:pt idx="8">
                  <c:v>4.666666666666667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2"/>
          <c:order val="2"/>
          <c:tx>
            <c:strRef>
              <c:f>Analysis!$E$1</c:f>
              <c:strCache>
                <c:ptCount val="1"/>
                <c:pt idx="0">
                  <c:v>Text Accuracy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Analysis!$E$2:$E$10</c:f>
              <c:numCache>
                <c:formatCode>#,##0.00</c:formatCode>
                <c:ptCount val="9"/>
                <c:pt idx="0">
                  <c:v>4.25</c:v>
                </c:pt>
                <c:pt idx="1">
                  <c:v>4.25</c:v>
                </c:pt>
                <c:pt idx="2">
                  <c:v>4.5</c:v>
                </c:pt>
                <c:pt idx="3">
                  <c:v>4.25</c:v>
                </c:pt>
                <c:pt idx="4">
                  <c:v>3.5</c:v>
                </c:pt>
                <c:pt idx="5">
                  <c:v>4</c:v>
                </c:pt>
                <c:pt idx="6">
                  <c:v>4.666666666666667</c:v>
                </c:pt>
                <c:pt idx="7">
                  <c:v>4.166666666666667</c:v>
                </c:pt>
                <c:pt idx="8">
                  <c:v>3.4166666666666665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3"/>
          <c:order val="3"/>
          <c:tx>
            <c:strRef>
              <c:f>Analysis!$F$1</c:f>
              <c:strCache>
                <c:ptCount val="1"/>
                <c:pt idx="0">
                  <c:v>E-commerce Usability</c:v>
                </c:pt>
              </c:strCache>
            </c:strRef>
          </c:tx>
          <c:spPr>
            <a:solidFill>
              <a:srgbClr val="34A853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Analysis!$F$2:$F$10</c:f>
              <c:numCache>
                <c:formatCode>#,##0.00</c:formatCode>
                <c:ptCount val="9"/>
                <c:pt idx="0">
                  <c:v>4.25</c:v>
                </c:pt>
                <c:pt idx="1">
                  <c:v>4.166666666666667</c:v>
                </c:pt>
                <c:pt idx="2">
                  <c:v>4.25</c:v>
                </c:pt>
                <c:pt idx="3">
                  <c:v>4.083333333333333</c:v>
                </c:pt>
                <c:pt idx="4">
                  <c:v>3.5833333333333335</c:v>
                </c:pt>
                <c:pt idx="5">
                  <c:v>3.9166666666666665</c:v>
                </c:pt>
                <c:pt idx="6">
                  <c:v>4.583333333333333</c:v>
                </c:pt>
                <c:pt idx="7">
                  <c:v>4.083333333333333</c:v>
                </c:pt>
                <c:pt idx="8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094304"/>
        <c:axId val="369093520"/>
      </c:barChart>
      <c:catAx>
        <c:axId val="36909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093520"/>
        <c:crosses val="autoZero"/>
        <c:auto val="1"/>
        <c:lblAlgn val="ctr"/>
        <c:lblOffset val="100"/>
        <c:noMultiLvlLbl val="1"/>
      </c:catAx>
      <c:valAx>
        <c:axId val="369093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0943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Analysis!$C$1</c:f>
              <c:strCache>
                <c:ptCount val="1"/>
                <c:pt idx="0">
                  <c:v>Visual Appeal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Analysis!$C$2:$C$10</c:f>
              <c:numCache>
                <c:formatCode>#,##0.00</c:formatCode>
                <c:ptCount val="9"/>
                <c:pt idx="0">
                  <c:v>4.083333333333333</c:v>
                </c:pt>
                <c:pt idx="1">
                  <c:v>4.166666666666667</c:v>
                </c:pt>
                <c:pt idx="2">
                  <c:v>4.583333333333333</c:v>
                </c:pt>
                <c:pt idx="3">
                  <c:v>4.166666666666667</c:v>
                </c:pt>
                <c:pt idx="4">
                  <c:v>3.9166666666666665</c:v>
                </c:pt>
                <c:pt idx="5">
                  <c:v>3.9166666666666665</c:v>
                </c:pt>
                <c:pt idx="6">
                  <c:v>4.5</c:v>
                </c:pt>
                <c:pt idx="7">
                  <c:v>3.75</c:v>
                </c:pt>
                <c:pt idx="8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Analysis!$D$1</c:f>
              <c:strCache>
                <c:ptCount val="1"/>
                <c:pt idx="0">
                  <c:v>Rakhi Relevance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Analysis!$D$2:$D$10</c:f>
              <c:numCache>
                <c:formatCode>#,##0.00</c:formatCode>
                <c:ptCount val="9"/>
                <c:pt idx="0">
                  <c:v>3.75</c:v>
                </c:pt>
                <c:pt idx="1">
                  <c:v>4</c:v>
                </c:pt>
                <c:pt idx="2">
                  <c:v>4.166666666666667</c:v>
                </c:pt>
                <c:pt idx="3">
                  <c:v>3.8333333333333335</c:v>
                </c:pt>
                <c:pt idx="4">
                  <c:v>3.6666666666666665</c:v>
                </c:pt>
                <c:pt idx="5">
                  <c:v>3.75</c:v>
                </c:pt>
                <c:pt idx="6">
                  <c:v>4.75</c:v>
                </c:pt>
                <c:pt idx="7">
                  <c:v>4.583333333333333</c:v>
                </c:pt>
                <c:pt idx="8">
                  <c:v>4.666666666666667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2"/>
          <c:order val="2"/>
          <c:tx>
            <c:strRef>
              <c:f>Analysis!$E$1</c:f>
              <c:strCache>
                <c:ptCount val="1"/>
                <c:pt idx="0">
                  <c:v>Text Accuracy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Analysis!$E$2:$E$10</c:f>
              <c:numCache>
                <c:formatCode>#,##0.00</c:formatCode>
                <c:ptCount val="9"/>
                <c:pt idx="0">
                  <c:v>4.25</c:v>
                </c:pt>
                <c:pt idx="1">
                  <c:v>4.25</c:v>
                </c:pt>
                <c:pt idx="2">
                  <c:v>4.5</c:v>
                </c:pt>
                <c:pt idx="3">
                  <c:v>4.25</c:v>
                </c:pt>
                <c:pt idx="4">
                  <c:v>3.5</c:v>
                </c:pt>
                <c:pt idx="5">
                  <c:v>4</c:v>
                </c:pt>
                <c:pt idx="6">
                  <c:v>4.666666666666667</c:v>
                </c:pt>
                <c:pt idx="7">
                  <c:v>4.166666666666667</c:v>
                </c:pt>
                <c:pt idx="8">
                  <c:v>3.4166666666666665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3"/>
          <c:order val="3"/>
          <c:tx>
            <c:strRef>
              <c:f>Analysis!$F$1</c:f>
              <c:strCache>
                <c:ptCount val="1"/>
                <c:pt idx="0">
                  <c:v>E-commerce Usability</c:v>
                </c:pt>
              </c:strCache>
            </c:strRef>
          </c:tx>
          <c:spPr>
            <a:solidFill>
              <a:srgbClr val="34A853"/>
            </a:solidFill>
            <a:ln cmpd="sng">
              <a:noFill/>
            </a:ln>
          </c:spPr>
          <c:invertIfNegative val="1"/>
          <c:cat>
            <c:strRef>
              <c:f>Analysis!$B$2:$B$10</c:f>
              <c:strCache>
                <c:ptCount val="9"/>
                <c:pt idx="0">
                  <c:v>A - GPT</c:v>
                </c:pt>
                <c:pt idx="1">
                  <c:v>B - Gemini 3.5 Flash</c:v>
                </c:pt>
                <c:pt idx="2">
                  <c:v>C - Gemini 3.1 Flash-Lite</c:v>
                </c:pt>
                <c:pt idx="3">
                  <c:v>A - GPT</c:v>
                </c:pt>
                <c:pt idx="4">
                  <c:v>B - Gemini 3.5 Flash</c:v>
                </c:pt>
                <c:pt idx="5">
                  <c:v>C - Gemini 3.1 Flash-Lite</c:v>
                </c:pt>
                <c:pt idx="6">
                  <c:v>A - GPT</c:v>
                </c:pt>
                <c:pt idx="7">
                  <c:v>B - Gemini 3.5 Flash</c:v>
                </c:pt>
                <c:pt idx="8">
                  <c:v>C - Gemini 3.1 Flash-Lite</c:v>
                </c:pt>
              </c:strCache>
            </c:strRef>
          </c:cat>
          <c:val>
            <c:numRef>
              <c:f>Analysis!$F$2:$F$10</c:f>
              <c:numCache>
                <c:formatCode>#,##0.00</c:formatCode>
                <c:ptCount val="9"/>
                <c:pt idx="0">
                  <c:v>4.25</c:v>
                </c:pt>
                <c:pt idx="1">
                  <c:v>4.166666666666667</c:v>
                </c:pt>
                <c:pt idx="2">
                  <c:v>4.25</c:v>
                </c:pt>
                <c:pt idx="3">
                  <c:v>4.083333333333333</c:v>
                </c:pt>
                <c:pt idx="4">
                  <c:v>3.5833333333333335</c:v>
                </c:pt>
                <c:pt idx="5">
                  <c:v>3.9166666666666665</c:v>
                </c:pt>
                <c:pt idx="6">
                  <c:v>4.583333333333333</c:v>
                </c:pt>
                <c:pt idx="7">
                  <c:v>4.083333333333333</c:v>
                </c:pt>
                <c:pt idx="8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093128"/>
        <c:axId val="369094696"/>
      </c:barChart>
      <c:catAx>
        <c:axId val="369093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094696"/>
        <c:crosses val="autoZero"/>
        <c:auto val="1"/>
        <c:lblAlgn val="ctr"/>
        <c:lblOffset val="100"/>
        <c:noMultiLvlLbl val="1"/>
      </c:catAx>
      <c:valAx>
        <c:axId val="369094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0931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Overall Themewise Preferences</a:t>
            </a:r>
          </a:p>
        </c:rich>
      </c:tx>
      <c:layout>
        <c:manualLayout>
          <c:xMode val="edge"/>
          <c:yMode val="edge"/>
          <c:x val="2.258333333333333E-2"/>
          <c:y val="4.1913746630727763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Analysis!$B$13:$B$14</c:f>
              <c:strCache>
                <c:ptCount val="2"/>
                <c:pt idx="0">
                  <c:v>PREFERENCE VOTES</c:v>
                </c:pt>
                <c:pt idx="1">
                  <c:v>GPT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Analysis!$A$15:$A$17</c:f>
              <c:strCache>
                <c:ptCount val="3"/>
                <c:pt idx="0">
                  <c:v>Theme 1</c:v>
                </c:pt>
                <c:pt idx="1">
                  <c:v>Theme 2</c:v>
                </c:pt>
                <c:pt idx="2">
                  <c:v>Theme 3</c:v>
                </c:pt>
              </c:strCache>
            </c:strRef>
          </c:cat>
          <c:val>
            <c:numRef>
              <c:f>Analysis!$B$15:$B$17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Analysis!$C$13:$C$14</c:f>
              <c:strCache>
                <c:ptCount val="2"/>
                <c:pt idx="0">
                  <c:v>PREFERENCE VOTES</c:v>
                </c:pt>
                <c:pt idx="1">
                  <c:v>Gemini 3.5 Flash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Analysis!$A$15:$A$17</c:f>
              <c:strCache>
                <c:ptCount val="3"/>
                <c:pt idx="0">
                  <c:v>Theme 1</c:v>
                </c:pt>
                <c:pt idx="1">
                  <c:v>Theme 2</c:v>
                </c:pt>
                <c:pt idx="2">
                  <c:v>Theme 3</c:v>
                </c:pt>
              </c:strCache>
            </c:strRef>
          </c:cat>
          <c:val>
            <c:numRef>
              <c:f>Analysis!$C$15:$C$17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ser>
          <c:idx val="2"/>
          <c:order val="2"/>
          <c:tx>
            <c:strRef>
              <c:f>Analysis!$D$13:$D$14</c:f>
              <c:strCache>
                <c:ptCount val="2"/>
                <c:pt idx="0">
                  <c:v>PREFERENCE VOTES</c:v>
                </c:pt>
                <c:pt idx="1">
                  <c:v>Gemini 3.1 Flash-Lite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strRef>
              <c:f>Analysis!$A$15:$A$17</c:f>
              <c:strCache>
                <c:ptCount val="3"/>
                <c:pt idx="0">
                  <c:v>Theme 1</c:v>
                </c:pt>
                <c:pt idx="1">
                  <c:v>Theme 2</c:v>
                </c:pt>
                <c:pt idx="2">
                  <c:v>Theme 3</c:v>
                </c:pt>
              </c:strCache>
            </c:strRef>
          </c:cat>
          <c:val>
            <c:numRef>
              <c:f>Analysis!$D$15:$D$17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097440"/>
        <c:axId val="369096264"/>
      </c:barChart>
      <c:catAx>
        <c:axId val="36909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Theme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096264"/>
        <c:crosses val="autoZero"/>
        <c:auto val="1"/>
        <c:lblAlgn val="ctr"/>
        <c:lblOffset val="100"/>
        <c:noMultiLvlLbl val="1"/>
      </c:catAx>
      <c:valAx>
        <c:axId val="369096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0974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Visual Appeal Performance</a:t>
            </a:r>
          </a:p>
        </c:rich>
      </c:tx>
      <c:layout>
        <c:manualLayout>
          <c:xMode val="edge"/>
          <c:yMode val="edge"/>
          <c:x val="0.24618762475049899"/>
          <c:y val="0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Analysis!$B$20:$B$21</c:f>
              <c:strCache>
                <c:ptCount val="2"/>
                <c:pt idx="0">
                  <c:v>Final model-wise average</c:v>
                </c:pt>
                <c:pt idx="1">
                  <c:v>Visual Appeal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cat>
            <c:strRef>
              <c:f>Analysis!$A$22:$A$24</c:f>
              <c:strCache>
                <c:ptCount val="3"/>
                <c:pt idx="0">
                  <c:v>GPT</c:v>
                </c:pt>
                <c:pt idx="1">
                  <c:v>Gemini 3.5 Flash</c:v>
                </c:pt>
                <c:pt idx="2">
                  <c:v>Gemini 3.1 Flash-Lite</c:v>
                </c:pt>
              </c:strCache>
            </c:strRef>
          </c:cat>
          <c:val>
            <c:numRef>
              <c:f>Analysis!$B$22:$B$24</c:f>
              <c:numCache>
                <c:formatCode>#,##0.00</c:formatCode>
                <c:ptCount val="3"/>
                <c:pt idx="0">
                  <c:v>4.25</c:v>
                </c:pt>
                <c:pt idx="1">
                  <c:v>3.9444444444444446</c:v>
                </c:pt>
                <c:pt idx="2">
                  <c:v>4.166666666666667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Rakhi Relevance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Analysis!$C$20:$C$21</c:f>
              <c:strCache>
                <c:ptCount val="2"/>
                <c:pt idx="0">
                  <c:v>Final model-wise average</c:v>
                </c:pt>
                <c:pt idx="1">
                  <c:v>Rakhi Relevance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cat>
            <c:strRef>
              <c:f>Analysis!$A$22:$A$24</c:f>
              <c:strCache>
                <c:ptCount val="3"/>
                <c:pt idx="0">
                  <c:v>GPT</c:v>
                </c:pt>
                <c:pt idx="1">
                  <c:v>Gemini 3.5 Flash</c:v>
                </c:pt>
                <c:pt idx="2">
                  <c:v>Gemini 3.1 Flash-Lite</c:v>
                </c:pt>
              </c:strCache>
            </c:strRef>
          </c:cat>
          <c:val>
            <c:numRef>
              <c:f>Analysis!$C$22:$C$24</c:f>
              <c:numCache>
                <c:formatCode>#,##0.00</c:formatCode>
                <c:ptCount val="3"/>
                <c:pt idx="0">
                  <c:v>4.1111111111111116</c:v>
                </c:pt>
                <c:pt idx="1">
                  <c:v>4.083333333333333</c:v>
                </c:pt>
                <c:pt idx="2">
                  <c:v>4.1944444444444446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Text Accuracy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Analysis!$D$20:$D$21</c:f>
              <c:strCache>
                <c:ptCount val="2"/>
                <c:pt idx="0">
                  <c:v>Final model-wise average</c:v>
                </c:pt>
                <c:pt idx="1">
                  <c:v>Text Accuracy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cat>
            <c:strRef>
              <c:f>Analysis!$A$22:$A$24</c:f>
              <c:strCache>
                <c:ptCount val="3"/>
                <c:pt idx="0">
                  <c:v>GPT</c:v>
                </c:pt>
                <c:pt idx="1">
                  <c:v>Gemini 3.5 Flash</c:v>
                </c:pt>
                <c:pt idx="2">
                  <c:v>Gemini 3.1 Flash-Lite</c:v>
                </c:pt>
              </c:strCache>
            </c:strRef>
          </c:cat>
          <c:val>
            <c:numRef>
              <c:f>Analysis!$D$22:$D$24</c:f>
              <c:numCache>
                <c:formatCode>#,##0.00</c:formatCode>
                <c:ptCount val="3"/>
                <c:pt idx="0">
                  <c:v>4.3888888888888893</c:v>
                </c:pt>
                <c:pt idx="1">
                  <c:v>3.9722222222222228</c:v>
                </c:pt>
                <c:pt idx="2">
                  <c:v>3.9722222222222219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E-commerce Usability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Analysis!$E$20:$E$21</c:f>
              <c:strCache>
                <c:ptCount val="2"/>
                <c:pt idx="0">
                  <c:v>Final model-wise average</c:v>
                </c:pt>
                <c:pt idx="1">
                  <c:v>E-commerce Usability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cat>
            <c:strRef>
              <c:f>Analysis!$A$22:$A$24</c:f>
              <c:strCache>
                <c:ptCount val="3"/>
                <c:pt idx="0">
                  <c:v>GPT</c:v>
                </c:pt>
                <c:pt idx="1">
                  <c:v>Gemini 3.5 Flash</c:v>
                </c:pt>
                <c:pt idx="2">
                  <c:v>Gemini 3.1 Flash-Lite</c:v>
                </c:pt>
              </c:strCache>
            </c:strRef>
          </c:cat>
          <c:val>
            <c:numRef>
              <c:f>Analysis!$E$22:$E$24</c:f>
              <c:numCache>
                <c:formatCode>#,##0.00</c:formatCode>
                <c:ptCount val="3"/>
                <c:pt idx="0">
                  <c:v>4.3055555555555545</c:v>
                </c:pt>
                <c:pt idx="1">
                  <c:v>3.9444444444444442</c:v>
                </c:pt>
                <c:pt idx="2">
                  <c:v>4.0555555555555554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Analysis'!$C$1</c:f>
              <c:strCache>
                <c:ptCount val="1"/>
                <c:pt idx="0">
                  <c:v>Visual Appeal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'Model Analysis'!$A$2:$B$10</c:f>
              <c:multiLvlStrCache>
                <c:ptCount val="9"/>
                <c:lvl>
                  <c:pt idx="0">
                    <c:v>A - GPT</c:v>
                  </c:pt>
                  <c:pt idx="1">
                    <c:v>B - Gemini 3.5 Flash</c:v>
                  </c:pt>
                  <c:pt idx="2">
                    <c:v>C - Gemini 3.1 Flash-Lite</c:v>
                  </c:pt>
                  <c:pt idx="3">
                    <c:v>A - GPT</c:v>
                  </c:pt>
                  <c:pt idx="4">
                    <c:v>B - Gemini 3.5 Flash</c:v>
                  </c:pt>
                  <c:pt idx="5">
                    <c:v>C - Gemini 3.1 Flash-Lite</c:v>
                  </c:pt>
                  <c:pt idx="6">
                    <c:v>A - GPT</c:v>
                  </c:pt>
                  <c:pt idx="7">
                    <c:v>B - Gemini 3.5 Flash</c:v>
                  </c:pt>
                  <c:pt idx="8">
                    <c:v>C - Gemini 3.1 Flash-Lite</c:v>
                  </c:pt>
                </c:lvl>
                <c:lvl>
                  <c:pt idx="0">
                    <c:v>Theme 1</c:v>
                  </c:pt>
                  <c:pt idx="1">
                    <c:v>Theme 1</c:v>
                  </c:pt>
                  <c:pt idx="2">
                    <c:v>Theme 1</c:v>
                  </c:pt>
                  <c:pt idx="3">
                    <c:v>Theme 2</c:v>
                  </c:pt>
                  <c:pt idx="4">
                    <c:v>Theme 2</c:v>
                  </c:pt>
                  <c:pt idx="5">
                    <c:v>Theme 2</c:v>
                  </c:pt>
                  <c:pt idx="6">
                    <c:v>Theme 3</c:v>
                  </c:pt>
                  <c:pt idx="7">
                    <c:v>Theme 3</c:v>
                  </c:pt>
                  <c:pt idx="8">
                    <c:v>Theme 3</c:v>
                  </c:pt>
                </c:lvl>
              </c:multiLvlStrCache>
            </c:multiLvlStrRef>
          </c:cat>
          <c:val>
            <c:numRef>
              <c:f>'Model Analysis'!$C$2:$C$10</c:f>
              <c:numCache>
                <c:formatCode>#,##0.00</c:formatCode>
                <c:ptCount val="9"/>
                <c:pt idx="0">
                  <c:v>4.083333333333333</c:v>
                </c:pt>
                <c:pt idx="1">
                  <c:v>4.166666666666667</c:v>
                </c:pt>
                <c:pt idx="2">
                  <c:v>4.583333333333333</c:v>
                </c:pt>
                <c:pt idx="3">
                  <c:v>4.166666666666667</c:v>
                </c:pt>
                <c:pt idx="4">
                  <c:v>3.9166666666666665</c:v>
                </c:pt>
                <c:pt idx="5">
                  <c:v>3.9166666666666665</c:v>
                </c:pt>
                <c:pt idx="6">
                  <c:v>4.5</c:v>
                </c:pt>
                <c:pt idx="7">
                  <c:v>3.75</c:v>
                </c:pt>
                <c:pt idx="8">
                  <c:v>4</c:v>
                </c:pt>
              </c:numCache>
            </c:numRef>
          </c:val>
        </c:ser>
        <c:ser>
          <c:idx val="1"/>
          <c:order val="1"/>
          <c:tx>
            <c:strRef>
              <c:f>'Model Analysis'!$D$1</c:f>
              <c:strCache>
                <c:ptCount val="1"/>
                <c:pt idx="0">
                  <c:v>Rakhi Relevance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'Model Analysis'!$A$2:$B$10</c:f>
              <c:multiLvlStrCache>
                <c:ptCount val="9"/>
                <c:lvl>
                  <c:pt idx="0">
                    <c:v>A - GPT</c:v>
                  </c:pt>
                  <c:pt idx="1">
                    <c:v>B - Gemini 3.5 Flash</c:v>
                  </c:pt>
                  <c:pt idx="2">
                    <c:v>C - Gemini 3.1 Flash-Lite</c:v>
                  </c:pt>
                  <c:pt idx="3">
                    <c:v>A - GPT</c:v>
                  </c:pt>
                  <c:pt idx="4">
                    <c:v>B - Gemini 3.5 Flash</c:v>
                  </c:pt>
                  <c:pt idx="5">
                    <c:v>C - Gemini 3.1 Flash-Lite</c:v>
                  </c:pt>
                  <c:pt idx="6">
                    <c:v>A - GPT</c:v>
                  </c:pt>
                  <c:pt idx="7">
                    <c:v>B - Gemini 3.5 Flash</c:v>
                  </c:pt>
                  <c:pt idx="8">
                    <c:v>C - Gemini 3.1 Flash-Lite</c:v>
                  </c:pt>
                </c:lvl>
                <c:lvl>
                  <c:pt idx="0">
                    <c:v>Theme 1</c:v>
                  </c:pt>
                  <c:pt idx="1">
                    <c:v>Theme 1</c:v>
                  </c:pt>
                  <c:pt idx="2">
                    <c:v>Theme 1</c:v>
                  </c:pt>
                  <c:pt idx="3">
                    <c:v>Theme 2</c:v>
                  </c:pt>
                  <c:pt idx="4">
                    <c:v>Theme 2</c:v>
                  </c:pt>
                  <c:pt idx="5">
                    <c:v>Theme 2</c:v>
                  </c:pt>
                  <c:pt idx="6">
                    <c:v>Theme 3</c:v>
                  </c:pt>
                  <c:pt idx="7">
                    <c:v>Theme 3</c:v>
                  </c:pt>
                  <c:pt idx="8">
                    <c:v>Theme 3</c:v>
                  </c:pt>
                </c:lvl>
              </c:multiLvlStrCache>
            </c:multiLvlStrRef>
          </c:cat>
          <c:val>
            <c:numRef>
              <c:f>'Model Analysis'!$D$2:$D$10</c:f>
              <c:numCache>
                <c:formatCode>#,##0.00</c:formatCode>
                <c:ptCount val="9"/>
                <c:pt idx="0">
                  <c:v>3.75</c:v>
                </c:pt>
                <c:pt idx="1">
                  <c:v>4</c:v>
                </c:pt>
                <c:pt idx="2">
                  <c:v>4.166666666666667</c:v>
                </c:pt>
                <c:pt idx="3">
                  <c:v>3.8333333333333335</c:v>
                </c:pt>
                <c:pt idx="4">
                  <c:v>3.6666666666666665</c:v>
                </c:pt>
                <c:pt idx="5">
                  <c:v>3.75</c:v>
                </c:pt>
                <c:pt idx="6">
                  <c:v>4.75</c:v>
                </c:pt>
                <c:pt idx="7">
                  <c:v>4.583333333333333</c:v>
                </c:pt>
                <c:pt idx="8">
                  <c:v>4.666666666666667</c:v>
                </c:pt>
              </c:numCache>
            </c:numRef>
          </c:val>
        </c:ser>
        <c:ser>
          <c:idx val="2"/>
          <c:order val="2"/>
          <c:tx>
            <c:strRef>
              <c:f>'Model Analysis'!$E$1</c:f>
              <c:strCache>
                <c:ptCount val="1"/>
                <c:pt idx="0">
                  <c:v>Text Accuracy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'Model Analysis'!$A$2:$B$10</c:f>
              <c:multiLvlStrCache>
                <c:ptCount val="9"/>
                <c:lvl>
                  <c:pt idx="0">
                    <c:v>A - GPT</c:v>
                  </c:pt>
                  <c:pt idx="1">
                    <c:v>B - Gemini 3.5 Flash</c:v>
                  </c:pt>
                  <c:pt idx="2">
                    <c:v>C - Gemini 3.1 Flash-Lite</c:v>
                  </c:pt>
                  <c:pt idx="3">
                    <c:v>A - GPT</c:v>
                  </c:pt>
                  <c:pt idx="4">
                    <c:v>B - Gemini 3.5 Flash</c:v>
                  </c:pt>
                  <c:pt idx="5">
                    <c:v>C - Gemini 3.1 Flash-Lite</c:v>
                  </c:pt>
                  <c:pt idx="6">
                    <c:v>A - GPT</c:v>
                  </c:pt>
                  <c:pt idx="7">
                    <c:v>B - Gemini 3.5 Flash</c:v>
                  </c:pt>
                  <c:pt idx="8">
                    <c:v>C - Gemini 3.1 Flash-Lite</c:v>
                  </c:pt>
                </c:lvl>
                <c:lvl>
                  <c:pt idx="0">
                    <c:v>Theme 1</c:v>
                  </c:pt>
                  <c:pt idx="1">
                    <c:v>Theme 1</c:v>
                  </c:pt>
                  <c:pt idx="2">
                    <c:v>Theme 1</c:v>
                  </c:pt>
                  <c:pt idx="3">
                    <c:v>Theme 2</c:v>
                  </c:pt>
                  <c:pt idx="4">
                    <c:v>Theme 2</c:v>
                  </c:pt>
                  <c:pt idx="5">
                    <c:v>Theme 2</c:v>
                  </c:pt>
                  <c:pt idx="6">
                    <c:v>Theme 3</c:v>
                  </c:pt>
                  <c:pt idx="7">
                    <c:v>Theme 3</c:v>
                  </c:pt>
                  <c:pt idx="8">
                    <c:v>Theme 3</c:v>
                  </c:pt>
                </c:lvl>
              </c:multiLvlStrCache>
            </c:multiLvlStrRef>
          </c:cat>
          <c:val>
            <c:numRef>
              <c:f>'Model Analysis'!$E$2:$E$10</c:f>
              <c:numCache>
                <c:formatCode>#,##0.00</c:formatCode>
                <c:ptCount val="9"/>
                <c:pt idx="0">
                  <c:v>4.25</c:v>
                </c:pt>
                <c:pt idx="1">
                  <c:v>4.25</c:v>
                </c:pt>
                <c:pt idx="2">
                  <c:v>4.5</c:v>
                </c:pt>
                <c:pt idx="3">
                  <c:v>4.25</c:v>
                </c:pt>
                <c:pt idx="4">
                  <c:v>3.5</c:v>
                </c:pt>
                <c:pt idx="5">
                  <c:v>4</c:v>
                </c:pt>
                <c:pt idx="6">
                  <c:v>4.666666666666667</c:v>
                </c:pt>
                <c:pt idx="7">
                  <c:v>4.166666666666667</c:v>
                </c:pt>
                <c:pt idx="8">
                  <c:v>3.4166666666666665</c:v>
                </c:pt>
              </c:numCache>
            </c:numRef>
          </c:val>
        </c:ser>
        <c:ser>
          <c:idx val="3"/>
          <c:order val="3"/>
          <c:tx>
            <c:strRef>
              <c:f>'Model Analysis'!$F$1</c:f>
              <c:strCache>
                <c:ptCount val="1"/>
                <c:pt idx="0">
                  <c:v>E-commerce Usability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'Model Analysis'!$A$2:$B$10</c:f>
              <c:multiLvlStrCache>
                <c:ptCount val="9"/>
                <c:lvl>
                  <c:pt idx="0">
                    <c:v>A - GPT</c:v>
                  </c:pt>
                  <c:pt idx="1">
                    <c:v>B - Gemini 3.5 Flash</c:v>
                  </c:pt>
                  <c:pt idx="2">
                    <c:v>C - Gemini 3.1 Flash-Lite</c:v>
                  </c:pt>
                  <c:pt idx="3">
                    <c:v>A - GPT</c:v>
                  </c:pt>
                  <c:pt idx="4">
                    <c:v>B - Gemini 3.5 Flash</c:v>
                  </c:pt>
                  <c:pt idx="5">
                    <c:v>C - Gemini 3.1 Flash-Lite</c:v>
                  </c:pt>
                  <c:pt idx="6">
                    <c:v>A - GPT</c:v>
                  </c:pt>
                  <c:pt idx="7">
                    <c:v>B - Gemini 3.5 Flash</c:v>
                  </c:pt>
                  <c:pt idx="8">
                    <c:v>C - Gemini 3.1 Flash-Lite</c:v>
                  </c:pt>
                </c:lvl>
                <c:lvl>
                  <c:pt idx="0">
                    <c:v>Theme 1</c:v>
                  </c:pt>
                  <c:pt idx="1">
                    <c:v>Theme 1</c:v>
                  </c:pt>
                  <c:pt idx="2">
                    <c:v>Theme 1</c:v>
                  </c:pt>
                  <c:pt idx="3">
                    <c:v>Theme 2</c:v>
                  </c:pt>
                  <c:pt idx="4">
                    <c:v>Theme 2</c:v>
                  </c:pt>
                  <c:pt idx="5">
                    <c:v>Theme 2</c:v>
                  </c:pt>
                  <c:pt idx="6">
                    <c:v>Theme 3</c:v>
                  </c:pt>
                  <c:pt idx="7">
                    <c:v>Theme 3</c:v>
                  </c:pt>
                  <c:pt idx="8">
                    <c:v>Theme 3</c:v>
                  </c:pt>
                </c:lvl>
              </c:multiLvlStrCache>
            </c:multiLvlStrRef>
          </c:cat>
          <c:val>
            <c:numRef>
              <c:f>'Model Analysis'!$F$2:$F$10</c:f>
              <c:numCache>
                <c:formatCode>#,##0.00</c:formatCode>
                <c:ptCount val="9"/>
                <c:pt idx="0">
                  <c:v>4.25</c:v>
                </c:pt>
                <c:pt idx="1">
                  <c:v>4.166666666666667</c:v>
                </c:pt>
                <c:pt idx="2">
                  <c:v>4.25</c:v>
                </c:pt>
                <c:pt idx="3">
                  <c:v>4.083333333333333</c:v>
                </c:pt>
                <c:pt idx="4">
                  <c:v>3.5833333333333335</c:v>
                </c:pt>
                <c:pt idx="5">
                  <c:v>3.9166666666666665</c:v>
                </c:pt>
                <c:pt idx="6">
                  <c:v>4.583333333333333</c:v>
                </c:pt>
                <c:pt idx="7">
                  <c:v>4.083333333333333</c:v>
                </c:pt>
                <c:pt idx="8">
                  <c:v>4</c:v>
                </c:pt>
              </c:numCache>
            </c:numRef>
          </c:val>
        </c:ser>
        <c:ser>
          <c:idx val="4"/>
          <c:order val="4"/>
          <c:tx>
            <c:strRef>
              <c:f>'Model Analysis'!$G$1</c:f>
              <c:strCache>
                <c:ptCount val="1"/>
                <c:pt idx="0">
                  <c:v>Overall Avg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'Model Analysis'!$A$2:$B$10</c:f>
              <c:multiLvlStrCache>
                <c:ptCount val="9"/>
                <c:lvl>
                  <c:pt idx="0">
                    <c:v>A - GPT</c:v>
                  </c:pt>
                  <c:pt idx="1">
                    <c:v>B - Gemini 3.5 Flash</c:v>
                  </c:pt>
                  <c:pt idx="2">
                    <c:v>C - Gemini 3.1 Flash-Lite</c:v>
                  </c:pt>
                  <c:pt idx="3">
                    <c:v>A - GPT</c:v>
                  </c:pt>
                  <c:pt idx="4">
                    <c:v>B - Gemini 3.5 Flash</c:v>
                  </c:pt>
                  <c:pt idx="5">
                    <c:v>C - Gemini 3.1 Flash-Lite</c:v>
                  </c:pt>
                  <c:pt idx="6">
                    <c:v>A - GPT</c:v>
                  </c:pt>
                  <c:pt idx="7">
                    <c:v>B - Gemini 3.5 Flash</c:v>
                  </c:pt>
                  <c:pt idx="8">
                    <c:v>C - Gemini 3.1 Flash-Lite</c:v>
                  </c:pt>
                </c:lvl>
                <c:lvl>
                  <c:pt idx="0">
                    <c:v>Theme 1</c:v>
                  </c:pt>
                  <c:pt idx="1">
                    <c:v>Theme 1</c:v>
                  </c:pt>
                  <c:pt idx="2">
                    <c:v>Theme 1</c:v>
                  </c:pt>
                  <c:pt idx="3">
                    <c:v>Theme 2</c:v>
                  </c:pt>
                  <c:pt idx="4">
                    <c:v>Theme 2</c:v>
                  </c:pt>
                  <c:pt idx="5">
                    <c:v>Theme 2</c:v>
                  </c:pt>
                  <c:pt idx="6">
                    <c:v>Theme 3</c:v>
                  </c:pt>
                  <c:pt idx="7">
                    <c:v>Theme 3</c:v>
                  </c:pt>
                  <c:pt idx="8">
                    <c:v>Theme 3</c:v>
                  </c:pt>
                </c:lvl>
              </c:multiLvlStrCache>
            </c:multiLvlStrRef>
          </c:cat>
          <c:val>
            <c:numRef>
              <c:f>'Model Analysis'!$G$2:$G$10</c:f>
              <c:numCache>
                <c:formatCode>#,##0.00</c:formatCode>
                <c:ptCount val="9"/>
                <c:pt idx="0">
                  <c:v>4.083333333333333</c:v>
                </c:pt>
                <c:pt idx="1">
                  <c:v>4.1458333333333339</c:v>
                </c:pt>
                <c:pt idx="2">
                  <c:v>4.375</c:v>
                </c:pt>
                <c:pt idx="3">
                  <c:v>4.083333333333333</c:v>
                </c:pt>
                <c:pt idx="4">
                  <c:v>3.6666666666666665</c:v>
                </c:pt>
                <c:pt idx="5">
                  <c:v>3.895833333333333</c:v>
                </c:pt>
                <c:pt idx="6">
                  <c:v>4.625</c:v>
                </c:pt>
                <c:pt idx="7">
                  <c:v>4.145833333333333</c:v>
                </c:pt>
                <c:pt idx="8">
                  <c:v>4.0208333333333339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773136"/>
        <c:axId val="376773528"/>
      </c:barChart>
      <c:catAx>
        <c:axId val="37677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3528"/>
        <c:crosses val="autoZero"/>
        <c:auto val="1"/>
        <c:lblAlgn val="ctr"/>
        <c:lblOffset val="100"/>
        <c:noMultiLvlLbl val="0"/>
      </c:catAx>
      <c:valAx>
        <c:axId val="37677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31</xdr:row>
      <xdr:rowOff>0</xdr:rowOff>
    </xdr:from>
    <xdr:ext cx="5715000" cy="3533775"/>
    <xdr:graphicFrame macro="">
      <xdr:nvGraphicFramePr>
        <xdr:cNvPr id="3" name="Chart 2" title="Char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38100</xdr:rowOff>
    </xdr:from>
    <xdr:ext cx="6353174" cy="2857500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647701</xdr:colOff>
      <xdr:row>0</xdr:row>
      <xdr:rowOff>38100</xdr:rowOff>
    </xdr:from>
    <xdr:ext cx="5724524" cy="2857500"/>
    <xdr:graphicFrame macro=""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9525</xdr:rowOff>
    </xdr:from>
    <xdr:ext cx="3181350" cy="1724025"/>
    <xdr:graphicFrame macro=""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657225</xdr:colOff>
      <xdr:row>14</xdr:row>
      <xdr:rowOff>28575</xdr:rowOff>
    </xdr:from>
    <xdr:ext cx="3305175" cy="1724025"/>
    <xdr:graphicFrame macro=""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742950</xdr:colOff>
      <xdr:row>14</xdr:row>
      <xdr:rowOff>19050</xdr:rowOff>
    </xdr:from>
    <xdr:ext cx="3181350" cy="1743075"/>
    <xdr:graphicFrame macro=""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</xdr:col>
      <xdr:colOff>571500</xdr:colOff>
      <xdr:row>14</xdr:row>
      <xdr:rowOff>0</xdr:rowOff>
    </xdr:from>
    <xdr:ext cx="3181350" cy="1743075"/>
    <xdr:graphicFrame macro=""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twoCellAnchor>
    <xdr:from>
      <xdr:col>0</xdr:col>
      <xdr:colOff>0</xdr:colOff>
      <xdr:row>22</xdr:row>
      <xdr:rowOff>190500</xdr:rowOff>
    </xdr:from>
    <xdr:to>
      <xdr:col>7</xdr:col>
      <xdr:colOff>371475</xdr:colOff>
      <xdr:row>40</xdr:row>
      <xdr:rowOff>128588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Q13">
  <tableColumns count="43">
    <tableColumn id="1" name="Timestamp"/>
    <tableColumn id="2" name="Full Name "/>
    <tableColumn id="4" name="  Age  "/>
    <tableColumn id="5" name="  Consent  "/>
    <tableColumn id="6" name="Rate Theme 1 Image A based on the following questions:  [Visual appeal]"/>
    <tableColumn id="7" name="Rate Theme 1 Image A based on the following questions:  [Raksha Bandhan relevance]"/>
    <tableColumn id="8" name="Rate Theme 1 Image A based on the following questions:  [Text readability and accuracy]"/>
    <tableColumn id="9" name="Rate Theme 1 Image A based on the following questions:  [E-commerce usability]"/>
    <tableColumn id="10" name="Rate Theme1 Image B based on the following questions: [Visual appeal]"/>
    <tableColumn id="11" name="Rate Theme1 Image B based on the following questions: [Raksha Bandhan relevance]"/>
    <tableColumn id="12" name="Rate Theme1 Image B based on the following questions: [Text readability and accuracy]"/>
    <tableColumn id="13" name="Rate Theme1 Image B based on the following questions: [E-commerce usability]"/>
    <tableColumn id="14" name="Rate Theme 1 Image C based on the following questions: [Visual appeal]"/>
    <tableColumn id="15" name="Rate Theme 1 Image C based on the following questions: [Raksha Bandhan relevance]"/>
    <tableColumn id="16" name="Rate Theme 1 Image C based on the following questions: [Text readability and accuracy]"/>
    <tableColumn id="17" name="Rate Theme 1 Image C based on the following questions: [E-commerce usability]"/>
    <tableColumn id="18" name="Which theme 1 image would you choose for SUVARNA JEWELS’ Raksha Bandhan campaign?  "/>
    <tableColumn id="19" name="Rate Theme 2 Image A based on the following questions:  [Visual appeal]"/>
    <tableColumn id="20" name="Rate Theme 2 Image A based on the following questions:  [Raksha Bandhan relevance]"/>
    <tableColumn id="21" name="Rate Theme 2 Image A based on the following questions:  [Text readability and accuracy]"/>
    <tableColumn id="22" name="Rate Theme 2 Image A based on the following questions:  [E-commerce usability]"/>
    <tableColumn id="23" name="Rate  Theme 2  Image B based on the following questions: [Visual appeal]"/>
    <tableColumn id="24" name="Rate  Theme 2  Image B based on the following questions: [Raksha Bandhan relevance]"/>
    <tableColumn id="25" name="Rate  Theme 2  Image B based on the following questions: [Text readability and accuracy]"/>
    <tableColumn id="26" name="Rate  Theme 2  Image B based on the following questions: [E-commerce usability]"/>
    <tableColumn id="27" name="Rate  Theme 2  Image C based on the following questions: [Visual appeal]"/>
    <tableColumn id="28" name="Rate  Theme 2  Image C based on the following questions: [Raksha Bandhan relevance]"/>
    <tableColumn id="29" name="Rate  Theme 2  Image C based on the following questions: [Text readability and accuracy]"/>
    <tableColumn id="30" name="Rate  Theme 2  Image C based on the following questions: [E-commerce usability]"/>
    <tableColumn id="31" name="Which  Theme 2  image would you choose for SUVARNA JEWELS’ Modern Raksha Bandhan jewellery campaign?"/>
    <tableColumn id="32" name="Rate  Theme 3  Image A based on the following questions:  [Visual appeal]"/>
    <tableColumn id="33" name="Rate  Theme 3  Image A based on the following questions:  [Raksha Bandhan relevance]"/>
    <tableColumn id="34" name="Rate  Theme 3  Image A based on the following questions:  [Text readability and accuracy]"/>
    <tableColumn id="35" name="Rate  Theme 3  Image A based on the following questions:  [E-commerce usability]"/>
    <tableColumn id="36" name="Rate  Theme 3  Image B based on the following questions: [Visual appeal]"/>
    <tableColumn id="37" name="Rate  Theme 3  Image B based on the following questions: [Raksha Bandhan relevance]"/>
    <tableColumn id="38" name="Rate  Theme 3  Image B based on the following questions: [Text readability and accuracy]"/>
    <tableColumn id="39" name="Rate  Theme 3  Image B based on the following questions: [E-commerce usability]"/>
    <tableColumn id="40" name="Rate  Theme 3  Image C based on the following questions: [Visual appeal]"/>
    <tableColumn id="41" name="Rate  Theme 3  Image C based on the following questions: [Raksha Bandhan relevance]"/>
    <tableColumn id="42" name="Rate  Theme 3  Image C based on the following questions: [Text readability and accuracy]"/>
    <tableColumn id="43" name="Rate  Theme 3  Image C based on the following questions: [E-commerce usability]"/>
    <tableColumn id="44" name="Which  Theme 3   image would you choose for SUVARNA JEWELS’ Sibling-Gifting Raksha Bandhan campaign? 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Form_Responses_2" displayName="Form_Responses_2" ref="A1:AQ13">
  <tableColumns count="43">
    <tableColumn id="1" name="Timestamp"/>
    <tableColumn id="2" name="Full Name "/>
    <tableColumn id="4" name="  Age  "/>
    <tableColumn id="5" name="  Consent  "/>
    <tableColumn id="6" name="Rate Theme 1 Image A based on the following questions:  [Visual appeal]"/>
    <tableColumn id="7" name="Rate Theme 1 Image A based on the following questions:  [Raksha Bandhan relevance]"/>
    <tableColumn id="8" name="Rate Theme 1 Image A based on the following questions:  [Text readability and accuracy]"/>
    <tableColumn id="9" name="Rate Theme 1 Image A based on the following questions:  [E-commerce usability]"/>
    <tableColumn id="10" name="Rate Theme1 Image B based on the following questions: [Visual appeal]"/>
    <tableColumn id="11" name="Rate Theme1 Image B based on the following questions: [Raksha Bandhan relevance]"/>
    <tableColumn id="12" name="Rate Theme1 Image B based on the following questions: [Text readability and accuracy]"/>
    <tableColumn id="13" name="Rate Theme1 Image B based on the following questions: [E-commerce usability]"/>
    <tableColumn id="14" name="Rate Theme 1 Image C based on the following questions: [Visual appeal]"/>
    <tableColumn id="15" name="Rate Theme 1 Image C based on the following questions: [Raksha Bandhan relevance]"/>
    <tableColumn id="16" name="Rate Theme 1 Image C based on the following questions: [Text readability and accuracy]"/>
    <tableColumn id="17" name="Rate Theme 1 Image C based on the following questions: [E-commerce usability]"/>
    <tableColumn id="18" name="Which theme 1 image would you choose for SUVARNA JEWELS’ Raksha Bandhan campaign?  "/>
    <tableColumn id="19" name="Rate Theme 2 Image A based on the following questions:  [Visual appeal]"/>
    <tableColumn id="20" name="Rate Theme 2 Image A based on the following questions:  [Raksha Bandhan relevance]"/>
    <tableColumn id="21" name="Rate Theme 2 Image A based on the following questions:  [Text readability and accuracy]"/>
    <tableColumn id="22" name="Rate Theme 2 Image A based on the following questions:  [E-commerce usability]"/>
    <tableColumn id="23" name="Rate  Theme 2  Image B based on the following questions: [Visual appeal]"/>
    <tableColumn id="24" name="Rate  Theme 2  Image B based on the following questions: [Raksha Bandhan relevance]"/>
    <tableColumn id="25" name="Rate  Theme 2  Image B based on the following questions: [Text readability and accuracy]"/>
    <tableColumn id="26" name="Rate  Theme 2  Image B based on the following questions: [E-commerce usability]"/>
    <tableColumn id="27" name="Rate  Theme 2  Image C based on the following questions: [Visual appeal]"/>
    <tableColumn id="28" name="Rate  Theme 2  Image C based on the following questions: [Raksha Bandhan relevance]"/>
    <tableColumn id="29" name="Rate  Theme 2  Image C based on the following questions: [Text readability and accuracy]"/>
    <tableColumn id="30" name="Rate  Theme 2  Image C based on the following questions: [E-commerce usability]"/>
    <tableColumn id="31" name="Which  Theme 2  image would you choose for SUVARNA JEWELS’ Modern Raksha Bandhan jewellery campaign?"/>
    <tableColumn id="32" name="Rate  Theme 3  Image A based on the following questions:  [Visual appeal]"/>
    <tableColumn id="33" name="Rate  Theme 3  Image A based on the following questions:  [Raksha Bandhan relevance]"/>
    <tableColumn id="34" name="Rate  Theme 3  Image A based on the following questions:  [Text readability and accuracy]"/>
    <tableColumn id="35" name="Rate  Theme 3  Image A based on the following questions:  [E-commerce usability]"/>
    <tableColumn id="36" name="Rate  Theme 3  Image B based on the following questions: [Visual appeal]"/>
    <tableColumn id="37" name="Rate  Theme 3  Image B based on the following questions: [Raksha Bandhan relevance]"/>
    <tableColumn id="38" name="Rate  Theme 3  Image B based on the following questions: [Text readability and accuracy]"/>
    <tableColumn id="39" name="Rate  Theme 3  Image B based on the following questions: [E-commerce usability]"/>
    <tableColumn id="40" name="Rate  Theme 3  Image C based on the following questions: [Visual appeal]"/>
    <tableColumn id="41" name="Rate  Theme 3  Image C based on the following questions: [Raksha Bandhan relevance]"/>
    <tableColumn id="42" name="Rate  Theme 3  Image C based on the following questions: [Text readability and accuracy]"/>
    <tableColumn id="43" name="Rate  Theme 3  Image C based on the following questions: [E-commerce usability]"/>
    <tableColumn id="44" name="Which  Theme 3   image would you choose for SUVARNA JEWELS’ Sibling-Gifting Raksha Bandhan campaign? "/>
  </tableColumns>
  <tableStyleInfo name="Copy of Form responses 1-style" showFirstColumn="1" showLastColumn="1" showRowStripes="1" showColumnStripes="0"/>
</table>
</file>

<file path=xl/tables/table3.xml><?xml version="1.0" encoding="utf-8"?>
<table xmlns="http://schemas.openxmlformats.org/spreadsheetml/2006/main" id="3" name="Table1" displayName="Table1" ref="A1:G10">
  <tableColumns count="7">
    <tableColumn id="1" name="Column1"/>
    <tableColumn id="2" name="Image / Model"/>
    <tableColumn id="3" name="Visual Appeal"/>
    <tableColumn id="4" name="Rakhi Relevance"/>
    <tableColumn id="5" name="Text Accuracy"/>
    <tableColumn id="6" name="E-commerce Usability"/>
    <tableColumn id="7" name="Overall Avg"/>
  </tableColumns>
  <tableStyleInfo name="Analysis-style" showFirstColumn="1" showLastColumn="1" showRowStripes="1" showColumnStripes="0"/>
</table>
</file>

<file path=xl/tables/table4.xml><?xml version="1.0" encoding="utf-8"?>
<table xmlns="http://schemas.openxmlformats.org/spreadsheetml/2006/main" id="5" name="Table16" displayName="Table16" ref="A1:G10" headerRowDxfId="1">
  <tableColumns count="7">
    <tableColumn id="1" name="Column1"/>
    <tableColumn id="2" name="Image / Model"/>
    <tableColumn id="3" name="Visual Appeal"/>
    <tableColumn id="4" name="Rakhi Relevance"/>
    <tableColumn id="5" name="Text Accuracy"/>
    <tableColumn id="6" name="E-commerce Usability"/>
    <tableColumn id="7" name="Overall Avg">
      <calculatedColumnFormula>AVERAGE(C2:F2)</calculatedColumnFormula>
    </tableColumn>
  </tableColumns>
  <tableStyleInfo name="Analys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3"/>
  <sheetViews>
    <sheetView workbookViewId="0">
      <pane ySplit="1" topLeftCell="A2" activePane="bottomLeft" state="frozen"/>
      <selection pane="bottomLeft" activeCell="C1" sqref="C1:C1048576"/>
    </sheetView>
  </sheetViews>
  <sheetFormatPr defaultColWidth="12.5703125" defaultRowHeight="15.75" customHeight="1" x14ac:dyDescent="0.2"/>
  <cols>
    <col min="1" max="4" width="18.85546875" customWidth="1"/>
    <col min="5" max="5" width="55.7109375" customWidth="1"/>
    <col min="6" max="6" width="69.28515625" customWidth="1"/>
    <col min="7" max="7" width="58.5703125" customWidth="1"/>
    <col min="8" max="8" width="53.42578125" customWidth="1"/>
    <col min="9" max="43" width="37.5703125" customWidth="1"/>
    <col min="44" max="49" width="18.85546875" customWidth="1"/>
  </cols>
  <sheetData>
    <row r="1" spans="1:4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2.5" customHeight="1" x14ac:dyDescent="0.2">
      <c r="A2" s="2">
        <v>46212.902469074077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46</v>
      </c>
      <c r="G2" s="3" t="s">
        <v>46</v>
      </c>
      <c r="H2" s="3" t="s">
        <v>46</v>
      </c>
      <c r="I2" s="3" t="s">
        <v>47</v>
      </c>
      <c r="J2" s="3" t="s">
        <v>46</v>
      </c>
      <c r="K2" s="3" t="s">
        <v>46</v>
      </c>
      <c r="L2" s="3" t="s">
        <v>47</v>
      </c>
      <c r="M2" s="3" t="s">
        <v>47</v>
      </c>
      <c r="N2" s="3" t="s">
        <v>46</v>
      </c>
      <c r="O2" s="3" t="s">
        <v>46</v>
      </c>
      <c r="P2" s="3" t="s">
        <v>48</v>
      </c>
      <c r="Q2" s="3" t="s">
        <v>49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48</v>
      </c>
      <c r="W2" s="3" t="s">
        <v>46</v>
      </c>
      <c r="X2" s="3" t="s">
        <v>50</v>
      </c>
      <c r="Y2" s="3" t="s">
        <v>51</v>
      </c>
      <c r="Z2" s="3" t="s">
        <v>47</v>
      </c>
      <c r="AA2" s="3" t="s">
        <v>46</v>
      </c>
      <c r="AB2" s="3" t="s">
        <v>46</v>
      </c>
      <c r="AC2" s="3" t="s">
        <v>48</v>
      </c>
      <c r="AD2" s="3" t="s">
        <v>52</v>
      </c>
      <c r="AE2" s="3" t="s">
        <v>47</v>
      </c>
      <c r="AF2" s="3" t="s">
        <v>46</v>
      </c>
      <c r="AG2" s="3" t="s">
        <v>46</v>
      </c>
      <c r="AH2" s="3" t="s">
        <v>47</v>
      </c>
      <c r="AI2" s="3" t="s">
        <v>48</v>
      </c>
      <c r="AJ2" s="3" t="s">
        <v>46</v>
      </c>
      <c r="AK2" s="3" t="s">
        <v>47</v>
      </c>
      <c r="AL2" s="3" t="s">
        <v>48</v>
      </c>
      <c r="AM2" s="3" t="s">
        <v>48</v>
      </c>
      <c r="AN2" s="3" t="s">
        <v>46</v>
      </c>
      <c r="AO2" s="3" t="s">
        <v>51</v>
      </c>
      <c r="AP2" s="3" t="s">
        <v>50</v>
      </c>
      <c r="AQ2" s="3" t="s">
        <v>52</v>
      </c>
    </row>
    <row r="3" spans="1:43" ht="22.5" customHeight="1" x14ac:dyDescent="0.2">
      <c r="A3" s="2">
        <v>46212.910270023145</v>
      </c>
      <c r="B3" s="3" t="s">
        <v>53</v>
      </c>
      <c r="C3" s="3" t="s">
        <v>44</v>
      </c>
      <c r="D3" s="3" t="s">
        <v>45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54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46</v>
      </c>
      <c r="AB3" s="3" t="s">
        <v>46</v>
      </c>
      <c r="AC3" s="3" t="s">
        <v>46</v>
      </c>
      <c r="AD3" s="3" t="s">
        <v>55</v>
      </c>
      <c r="AE3" s="3" t="s">
        <v>46</v>
      </c>
      <c r="AF3" s="3" t="s">
        <v>46</v>
      </c>
      <c r="AG3" s="3" t="s">
        <v>46</v>
      </c>
      <c r="AH3" s="3" t="s">
        <v>46</v>
      </c>
      <c r="AI3" s="3" t="s">
        <v>46</v>
      </c>
      <c r="AJ3" s="3" t="s">
        <v>46</v>
      </c>
      <c r="AK3" s="3" t="s">
        <v>46</v>
      </c>
      <c r="AL3" s="3" t="s">
        <v>46</v>
      </c>
      <c r="AM3" s="3" t="s">
        <v>46</v>
      </c>
      <c r="AN3" s="3" t="s">
        <v>46</v>
      </c>
      <c r="AO3" s="3" t="s">
        <v>46</v>
      </c>
      <c r="AP3" s="3" t="s">
        <v>46</v>
      </c>
      <c r="AQ3" s="3" t="s">
        <v>52</v>
      </c>
    </row>
    <row r="4" spans="1:43" ht="22.5" customHeight="1" x14ac:dyDescent="0.2">
      <c r="A4" s="2">
        <v>46212.91811136574</v>
      </c>
      <c r="B4" s="3" t="s">
        <v>56</v>
      </c>
      <c r="C4" s="3" t="s">
        <v>44</v>
      </c>
      <c r="D4" s="3" t="s">
        <v>45</v>
      </c>
      <c r="E4" s="3" t="s">
        <v>46</v>
      </c>
      <c r="F4" s="3" t="s">
        <v>46</v>
      </c>
      <c r="G4" s="3" t="s">
        <v>46</v>
      </c>
      <c r="H4" s="3" t="s">
        <v>46</v>
      </c>
      <c r="I4" s="3" t="s">
        <v>47</v>
      </c>
      <c r="J4" s="3" t="s">
        <v>46</v>
      </c>
      <c r="K4" s="3" t="s">
        <v>46</v>
      </c>
      <c r="L4" s="3" t="s">
        <v>47</v>
      </c>
      <c r="M4" s="3" t="s">
        <v>46</v>
      </c>
      <c r="N4" s="3" t="s">
        <v>46</v>
      </c>
      <c r="O4" s="3" t="s">
        <v>46</v>
      </c>
      <c r="P4" s="3" t="s">
        <v>47</v>
      </c>
      <c r="Q4" s="3" t="s">
        <v>49</v>
      </c>
      <c r="R4" s="3" t="s">
        <v>46</v>
      </c>
      <c r="S4" s="3" t="s">
        <v>47</v>
      </c>
      <c r="T4" s="3" t="s">
        <v>46</v>
      </c>
      <c r="U4" s="3" t="s">
        <v>46</v>
      </c>
      <c r="V4" s="3" t="s">
        <v>48</v>
      </c>
      <c r="W4" s="3" t="s">
        <v>47</v>
      </c>
      <c r="X4" s="3" t="s">
        <v>47</v>
      </c>
      <c r="Y4" s="3" t="s">
        <v>47</v>
      </c>
      <c r="Z4" s="3" t="s">
        <v>47</v>
      </c>
      <c r="AA4" s="3" t="s">
        <v>46</v>
      </c>
      <c r="AB4" s="3" t="s">
        <v>47</v>
      </c>
      <c r="AC4" s="3" t="s">
        <v>46</v>
      </c>
      <c r="AD4" s="3" t="s">
        <v>52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47</v>
      </c>
      <c r="AJ4" s="3" t="s">
        <v>46</v>
      </c>
      <c r="AK4" s="3" t="s">
        <v>46</v>
      </c>
      <c r="AL4" s="3" t="s">
        <v>46</v>
      </c>
      <c r="AM4" s="3" t="s">
        <v>46</v>
      </c>
      <c r="AN4" s="3" t="s">
        <v>46</v>
      </c>
      <c r="AO4" s="3" t="s">
        <v>46</v>
      </c>
      <c r="AP4" s="3" t="s">
        <v>46</v>
      </c>
      <c r="AQ4" s="3" t="s">
        <v>52</v>
      </c>
    </row>
    <row r="5" spans="1:43" ht="22.5" customHeight="1" x14ac:dyDescent="0.2">
      <c r="A5" s="2">
        <v>46212.920845833331</v>
      </c>
      <c r="B5" s="3" t="s">
        <v>57</v>
      </c>
      <c r="C5" s="3" t="s">
        <v>44</v>
      </c>
      <c r="D5" s="3" t="s">
        <v>45</v>
      </c>
      <c r="E5" s="3" t="s">
        <v>47</v>
      </c>
      <c r="F5" s="3" t="s">
        <v>47</v>
      </c>
      <c r="G5" s="3" t="s">
        <v>47</v>
      </c>
      <c r="H5" s="3" t="s">
        <v>46</v>
      </c>
      <c r="I5" s="3" t="s">
        <v>47</v>
      </c>
      <c r="J5" s="3" t="s">
        <v>47</v>
      </c>
      <c r="K5" s="3" t="s">
        <v>47</v>
      </c>
      <c r="L5" s="3" t="s">
        <v>46</v>
      </c>
      <c r="M5" s="3" t="s">
        <v>47</v>
      </c>
      <c r="N5" s="3" t="s">
        <v>50</v>
      </c>
      <c r="O5" s="3" t="s">
        <v>47</v>
      </c>
      <c r="P5" s="3" t="s">
        <v>50</v>
      </c>
      <c r="Q5" s="3" t="s">
        <v>49</v>
      </c>
      <c r="R5" s="3" t="s">
        <v>48</v>
      </c>
      <c r="S5" s="3" t="s">
        <v>48</v>
      </c>
      <c r="T5" s="3" t="s">
        <v>47</v>
      </c>
      <c r="U5" s="3" t="s">
        <v>48</v>
      </c>
      <c r="V5" s="3" t="s">
        <v>48</v>
      </c>
      <c r="W5" s="3" t="s">
        <v>48</v>
      </c>
      <c r="X5" s="3" t="s">
        <v>47</v>
      </c>
      <c r="Y5" s="3" t="s">
        <v>48</v>
      </c>
      <c r="Z5" s="3" t="s">
        <v>47</v>
      </c>
      <c r="AA5" s="3" t="s">
        <v>48</v>
      </c>
      <c r="AB5" s="3" t="s">
        <v>47</v>
      </c>
      <c r="AC5" s="3" t="s">
        <v>47</v>
      </c>
      <c r="AD5" s="3" t="s">
        <v>55</v>
      </c>
      <c r="AE5" s="3" t="s">
        <v>47</v>
      </c>
      <c r="AF5" s="3" t="s">
        <v>47</v>
      </c>
      <c r="AG5" s="3" t="s">
        <v>47</v>
      </c>
      <c r="AH5" s="3" t="s">
        <v>47</v>
      </c>
      <c r="AI5" s="3" t="s">
        <v>48</v>
      </c>
      <c r="AJ5" s="3" t="s">
        <v>47</v>
      </c>
      <c r="AK5" s="3" t="s">
        <v>47</v>
      </c>
      <c r="AL5" s="3" t="s">
        <v>48</v>
      </c>
      <c r="AM5" s="3" t="s">
        <v>47</v>
      </c>
      <c r="AN5" s="3" t="s">
        <v>47</v>
      </c>
      <c r="AO5" s="3" t="s">
        <v>47</v>
      </c>
      <c r="AP5" s="3" t="s">
        <v>48</v>
      </c>
      <c r="AQ5" s="3" t="s">
        <v>52</v>
      </c>
    </row>
    <row r="6" spans="1:43" ht="22.5" customHeight="1" x14ac:dyDescent="0.2">
      <c r="A6" s="2">
        <v>46212.921618877313</v>
      </c>
      <c r="B6" s="3" t="s">
        <v>58</v>
      </c>
      <c r="C6" s="3" t="s">
        <v>44</v>
      </c>
      <c r="D6" s="3" t="s">
        <v>45</v>
      </c>
      <c r="E6" s="3" t="s">
        <v>47</v>
      </c>
      <c r="F6" s="3" t="s">
        <v>47</v>
      </c>
      <c r="G6" s="3" t="s">
        <v>46</v>
      </c>
      <c r="H6" s="3" t="s">
        <v>46</v>
      </c>
      <c r="I6" s="3" t="s">
        <v>47</v>
      </c>
      <c r="J6" s="3" t="s">
        <v>48</v>
      </c>
      <c r="K6" s="3" t="s">
        <v>46</v>
      </c>
      <c r="L6" s="3" t="s">
        <v>46</v>
      </c>
      <c r="M6" s="3" t="s">
        <v>47</v>
      </c>
      <c r="N6" s="3" t="s">
        <v>47</v>
      </c>
      <c r="O6" s="3" t="s">
        <v>46</v>
      </c>
      <c r="P6" s="3" t="s">
        <v>46</v>
      </c>
      <c r="Q6" s="3" t="s">
        <v>49</v>
      </c>
      <c r="R6" s="3" t="s">
        <v>47</v>
      </c>
      <c r="S6" s="3" t="s">
        <v>48</v>
      </c>
      <c r="T6" s="3" t="s">
        <v>47</v>
      </c>
      <c r="U6" s="3" t="s">
        <v>47</v>
      </c>
      <c r="V6" s="3" t="s">
        <v>48</v>
      </c>
      <c r="W6" s="3" t="s">
        <v>48</v>
      </c>
      <c r="X6" s="3" t="s">
        <v>46</v>
      </c>
      <c r="Y6" s="3" t="s">
        <v>47</v>
      </c>
      <c r="Z6" s="3" t="s">
        <v>48</v>
      </c>
      <c r="AA6" s="3" t="s">
        <v>48</v>
      </c>
      <c r="AB6" s="3" t="s">
        <v>46</v>
      </c>
      <c r="AC6" s="3" t="s">
        <v>47</v>
      </c>
      <c r="AD6" s="3" t="s">
        <v>52</v>
      </c>
      <c r="AE6" s="3" t="s">
        <v>47</v>
      </c>
      <c r="AF6" s="3" t="s">
        <v>46</v>
      </c>
      <c r="AG6" s="3" t="s">
        <v>46</v>
      </c>
      <c r="AH6" s="3" t="s">
        <v>46</v>
      </c>
      <c r="AI6" s="3" t="s">
        <v>47</v>
      </c>
      <c r="AJ6" s="3" t="s">
        <v>47</v>
      </c>
      <c r="AK6" s="3" t="s">
        <v>46</v>
      </c>
      <c r="AL6" s="3" t="s">
        <v>46</v>
      </c>
      <c r="AM6" s="3" t="s">
        <v>47</v>
      </c>
      <c r="AN6" s="3" t="s">
        <v>46</v>
      </c>
      <c r="AO6" s="3" t="s">
        <v>46</v>
      </c>
      <c r="AP6" s="3" t="s">
        <v>46</v>
      </c>
      <c r="AQ6" s="3" t="s">
        <v>55</v>
      </c>
    </row>
    <row r="7" spans="1:43" ht="22.5" customHeight="1" x14ac:dyDescent="0.2">
      <c r="A7" s="2">
        <v>46212.923844780089</v>
      </c>
      <c r="B7" s="3" t="s">
        <v>59</v>
      </c>
      <c r="C7" s="3" t="s">
        <v>44</v>
      </c>
      <c r="D7" s="3" t="s">
        <v>45</v>
      </c>
      <c r="E7" s="3" t="s">
        <v>47</v>
      </c>
      <c r="F7" s="3" t="s">
        <v>48</v>
      </c>
      <c r="G7" s="3" t="s">
        <v>47</v>
      </c>
      <c r="H7" s="3" t="s">
        <v>47</v>
      </c>
      <c r="I7" s="3" t="s">
        <v>47</v>
      </c>
      <c r="J7" s="3" t="s">
        <v>47</v>
      </c>
      <c r="K7" s="3" t="s">
        <v>47</v>
      </c>
      <c r="L7" s="3" t="s">
        <v>47</v>
      </c>
      <c r="M7" s="3" t="s">
        <v>47</v>
      </c>
      <c r="N7" s="3" t="s">
        <v>48</v>
      </c>
      <c r="O7" s="3" t="s">
        <v>47</v>
      </c>
      <c r="P7" s="3" t="s">
        <v>47</v>
      </c>
      <c r="Q7" s="3" t="s">
        <v>54</v>
      </c>
      <c r="R7" s="3" t="s">
        <v>47</v>
      </c>
      <c r="S7" s="3" t="s">
        <v>48</v>
      </c>
      <c r="T7" s="3" t="s">
        <v>47</v>
      </c>
      <c r="U7" s="3" t="s">
        <v>47</v>
      </c>
      <c r="V7" s="3" t="s">
        <v>47</v>
      </c>
      <c r="W7" s="3" t="s">
        <v>48</v>
      </c>
      <c r="X7" s="3" t="s">
        <v>47</v>
      </c>
      <c r="Y7" s="3" t="s">
        <v>47</v>
      </c>
      <c r="Z7" s="3" t="s">
        <v>47</v>
      </c>
      <c r="AA7" s="3" t="s">
        <v>48</v>
      </c>
      <c r="AB7" s="3" t="s">
        <v>47</v>
      </c>
      <c r="AC7" s="3" t="s">
        <v>47</v>
      </c>
      <c r="AD7" s="3" t="s">
        <v>60</v>
      </c>
      <c r="AE7" s="3" t="s">
        <v>47</v>
      </c>
      <c r="AF7" s="3" t="s">
        <v>47</v>
      </c>
      <c r="AG7" s="3" t="s">
        <v>47</v>
      </c>
      <c r="AH7" s="3" t="s">
        <v>47</v>
      </c>
      <c r="AI7" s="3" t="s">
        <v>47</v>
      </c>
      <c r="AJ7" s="3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  <c r="AP7" s="3" t="s">
        <v>47</v>
      </c>
      <c r="AQ7" s="3" t="s">
        <v>52</v>
      </c>
    </row>
    <row r="8" spans="1:43" ht="22.5" customHeight="1" x14ac:dyDescent="0.2">
      <c r="A8" s="2">
        <v>46212.924584074077</v>
      </c>
      <c r="B8" s="3" t="s">
        <v>61</v>
      </c>
      <c r="C8" s="3" t="s">
        <v>44</v>
      </c>
      <c r="D8" s="3" t="s">
        <v>45</v>
      </c>
      <c r="E8" s="3" t="s">
        <v>47</v>
      </c>
      <c r="F8" s="3" t="s">
        <v>48</v>
      </c>
      <c r="G8" s="3" t="s">
        <v>46</v>
      </c>
      <c r="H8" s="3" t="s">
        <v>47</v>
      </c>
      <c r="I8" s="3" t="s">
        <v>47</v>
      </c>
      <c r="J8" s="3" t="s">
        <v>47</v>
      </c>
      <c r="K8" s="3" t="s">
        <v>50</v>
      </c>
      <c r="L8" s="3" t="s">
        <v>47</v>
      </c>
      <c r="M8" s="3" t="s">
        <v>46</v>
      </c>
      <c r="N8" s="3" t="s">
        <v>46</v>
      </c>
      <c r="O8" s="3" t="s">
        <v>47</v>
      </c>
      <c r="P8" s="3" t="s">
        <v>46</v>
      </c>
      <c r="Q8" s="3" t="s">
        <v>62</v>
      </c>
      <c r="R8" s="3" t="s">
        <v>47</v>
      </c>
      <c r="S8" s="3" t="s">
        <v>46</v>
      </c>
      <c r="T8" s="3" t="s">
        <v>47</v>
      </c>
      <c r="U8" s="3" t="s">
        <v>47</v>
      </c>
      <c r="V8" s="3" t="s">
        <v>46</v>
      </c>
      <c r="W8" s="3" t="s">
        <v>46</v>
      </c>
      <c r="X8" s="3" t="s">
        <v>51</v>
      </c>
      <c r="Y8" s="3" t="s">
        <v>46</v>
      </c>
      <c r="Z8" s="3" t="s">
        <v>47</v>
      </c>
      <c r="AA8" s="3" t="s">
        <v>47</v>
      </c>
      <c r="AB8" s="3" t="s">
        <v>47</v>
      </c>
      <c r="AC8" s="3" t="s">
        <v>47</v>
      </c>
      <c r="AD8" s="3" t="s">
        <v>52</v>
      </c>
      <c r="AE8" s="3" t="s">
        <v>47</v>
      </c>
      <c r="AF8" s="3" t="s">
        <v>46</v>
      </c>
      <c r="AG8" s="3" t="s">
        <v>47</v>
      </c>
      <c r="AH8" s="3" t="s">
        <v>47</v>
      </c>
      <c r="AI8" s="3" t="s">
        <v>47</v>
      </c>
      <c r="AJ8" s="3" t="s">
        <v>46</v>
      </c>
      <c r="AK8" s="3" t="s">
        <v>48</v>
      </c>
      <c r="AL8" s="3" t="s">
        <v>47</v>
      </c>
      <c r="AM8" s="3" t="s">
        <v>47</v>
      </c>
      <c r="AN8" s="3" t="s">
        <v>46</v>
      </c>
      <c r="AO8" s="3" t="s">
        <v>51</v>
      </c>
      <c r="AP8" s="3" t="s">
        <v>47</v>
      </c>
      <c r="AQ8" s="3" t="s">
        <v>52</v>
      </c>
    </row>
    <row r="9" spans="1:43" ht="22.5" customHeight="1" x14ac:dyDescent="0.2">
      <c r="A9" s="2">
        <v>46212.93173030093</v>
      </c>
      <c r="B9" s="3" t="s">
        <v>63</v>
      </c>
      <c r="C9" s="3" t="s">
        <v>44</v>
      </c>
      <c r="D9" s="3" t="s">
        <v>45</v>
      </c>
      <c r="E9" s="3" t="s">
        <v>47</v>
      </c>
      <c r="F9" s="3" t="s">
        <v>48</v>
      </c>
      <c r="G9" s="3" t="s">
        <v>47</v>
      </c>
      <c r="H9" s="3" t="s">
        <v>47</v>
      </c>
      <c r="I9" s="3" t="s">
        <v>47</v>
      </c>
      <c r="J9" s="3" t="s">
        <v>48</v>
      </c>
      <c r="K9" s="3" t="s">
        <v>46</v>
      </c>
      <c r="L9" s="3" t="s">
        <v>48</v>
      </c>
      <c r="M9" s="3" t="s">
        <v>46</v>
      </c>
      <c r="N9" s="3" t="s">
        <v>47</v>
      </c>
      <c r="O9" s="3" t="s">
        <v>46</v>
      </c>
      <c r="P9" s="3" t="s">
        <v>46</v>
      </c>
      <c r="Q9" s="3" t="s">
        <v>49</v>
      </c>
      <c r="R9" s="3" t="s">
        <v>47</v>
      </c>
      <c r="S9" s="3" t="s">
        <v>46</v>
      </c>
      <c r="T9" s="3" t="s">
        <v>46</v>
      </c>
      <c r="U9" s="3" t="s">
        <v>46</v>
      </c>
      <c r="V9" s="3" t="s">
        <v>47</v>
      </c>
      <c r="W9" s="3" t="s">
        <v>47</v>
      </c>
      <c r="X9" s="3" t="s">
        <v>48</v>
      </c>
      <c r="Y9" s="3" t="s">
        <v>48</v>
      </c>
      <c r="Z9" s="3" t="s">
        <v>47</v>
      </c>
      <c r="AA9" s="3" t="s">
        <v>47</v>
      </c>
      <c r="AB9" s="3" t="s">
        <v>50</v>
      </c>
      <c r="AC9" s="3" t="s">
        <v>47</v>
      </c>
      <c r="AD9" s="3" t="s">
        <v>52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47</v>
      </c>
      <c r="AJ9" s="3" t="s">
        <v>46</v>
      </c>
      <c r="AK9" s="3" t="s">
        <v>46</v>
      </c>
      <c r="AL9" s="3" t="s">
        <v>46</v>
      </c>
      <c r="AM9" s="3" t="s">
        <v>47</v>
      </c>
      <c r="AN9" s="3" t="s">
        <v>46</v>
      </c>
      <c r="AO9" s="3" t="s">
        <v>48</v>
      </c>
      <c r="AP9" s="3" t="s">
        <v>46</v>
      </c>
      <c r="AQ9" s="3" t="s">
        <v>60</v>
      </c>
    </row>
    <row r="10" spans="1:43" ht="22.5" customHeight="1" x14ac:dyDescent="0.2">
      <c r="A10" s="2">
        <v>46212.932119097226</v>
      </c>
      <c r="B10" s="3" t="s">
        <v>64</v>
      </c>
      <c r="C10" s="3" t="s">
        <v>44</v>
      </c>
      <c r="D10" s="3" t="s">
        <v>45</v>
      </c>
      <c r="E10" s="3" t="s">
        <v>47</v>
      </c>
      <c r="F10" s="3" t="s">
        <v>48</v>
      </c>
      <c r="G10" s="3" t="s">
        <v>47</v>
      </c>
      <c r="H10" s="3" t="s">
        <v>47</v>
      </c>
      <c r="I10" s="3" t="s">
        <v>47</v>
      </c>
      <c r="J10" s="3" t="s">
        <v>47</v>
      </c>
      <c r="K10" s="3" t="s">
        <v>47</v>
      </c>
      <c r="L10" s="3" t="s">
        <v>47</v>
      </c>
      <c r="M10" s="3" t="s">
        <v>46</v>
      </c>
      <c r="N10" s="3" t="s">
        <v>46</v>
      </c>
      <c r="O10" s="3" t="s">
        <v>47</v>
      </c>
      <c r="P10" s="3" t="s">
        <v>46</v>
      </c>
      <c r="Q10" s="3" t="s">
        <v>62</v>
      </c>
      <c r="R10" s="3" t="s">
        <v>47</v>
      </c>
      <c r="S10" s="3" t="s">
        <v>48</v>
      </c>
      <c r="T10" s="3" t="s">
        <v>48</v>
      </c>
      <c r="U10" s="3" t="s">
        <v>48</v>
      </c>
      <c r="V10" s="3" t="s">
        <v>46</v>
      </c>
      <c r="W10" s="3" t="s">
        <v>48</v>
      </c>
      <c r="X10" s="3" t="s">
        <v>48</v>
      </c>
      <c r="Y10" s="3" t="s">
        <v>48</v>
      </c>
      <c r="Z10" s="3" t="s">
        <v>47</v>
      </c>
      <c r="AA10" s="3" t="s">
        <v>47</v>
      </c>
      <c r="AB10" s="3" t="s">
        <v>47</v>
      </c>
      <c r="AC10" s="3" t="s">
        <v>47</v>
      </c>
      <c r="AD10" s="3" t="s">
        <v>60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47</v>
      </c>
      <c r="AJ10" s="3" t="s">
        <v>46</v>
      </c>
      <c r="AK10" s="3" t="s">
        <v>47</v>
      </c>
      <c r="AL10" s="3" t="s">
        <v>47</v>
      </c>
      <c r="AM10" s="3" t="s">
        <v>46</v>
      </c>
      <c r="AN10" s="3" t="s">
        <v>46</v>
      </c>
      <c r="AO10" s="3" t="s">
        <v>47</v>
      </c>
      <c r="AP10" s="3" t="s">
        <v>47</v>
      </c>
      <c r="AQ10" s="3" t="s">
        <v>52</v>
      </c>
    </row>
    <row r="11" spans="1:43" ht="22.5" customHeight="1" x14ac:dyDescent="0.2">
      <c r="A11" s="4">
        <v>46213.474620682871</v>
      </c>
      <c r="B11" s="5" t="s">
        <v>65</v>
      </c>
      <c r="C11" s="5" t="s">
        <v>44</v>
      </c>
      <c r="D11" s="5" t="s">
        <v>45</v>
      </c>
      <c r="E11" s="5" t="s">
        <v>48</v>
      </c>
      <c r="F11" s="5" t="s">
        <v>47</v>
      </c>
      <c r="G11" s="5" t="s">
        <v>48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46</v>
      </c>
      <c r="N11" s="5" t="s">
        <v>46</v>
      </c>
      <c r="O11" s="5" t="s">
        <v>46</v>
      </c>
      <c r="P11" s="5" t="s">
        <v>46</v>
      </c>
      <c r="Q11" s="5" t="s">
        <v>62</v>
      </c>
      <c r="R11" s="5" t="s">
        <v>48</v>
      </c>
      <c r="S11" s="5" t="s">
        <v>50</v>
      </c>
      <c r="T11" s="5" t="s">
        <v>47</v>
      </c>
      <c r="U11" s="5" t="s">
        <v>48</v>
      </c>
      <c r="V11" s="5" t="s">
        <v>47</v>
      </c>
      <c r="W11" s="5" t="s">
        <v>50</v>
      </c>
      <c r="X11" s="5" t="s">
        <v>48</v>
      </c>
      <c r="Y11" s="5" t="s">
        <v>48</v>
      </c>
      <c r="Z11" s="5" t="s">
        <v>47</v>
      </c>
      <c r="AA11" s="5" t="s">
        <v>50</v>
      </c>
      <c r="AB11" s="5" t="s">
        <v>48</v>
      </c>
      <c r="AC11" s="5" t="s">
        <v>48</v>
      </c>
      <c r="AD11" s="5" t="s">
        <v>52</v>
      </c>
      <c r="AE11" s="5" t="s">
        <v>46</v>
      </c>
      <c r="AF11" s="5" t="s">
        <v>46</v>
      </c>
      <c r="AG11" s="5" t="s">
        <v>46</v>
      </c>
      <c r="AH11" s="5" t="s">
        <v>46</v>
      </c>
      <c r="AI11" s="5" t="s">
        <v>48</v>
      </c>
      <c r="AJ11" s="5" t="s">
        <v>46</v>
      </c>
      <c r="AK11" s="5" t="s">
        <v>47</v>
      </c>
      <c r="AL11" s="5" t="s">
        <v>47</v>
      </c>
      <c r="AM11" s="5" t="s">
        <v>47</v>
      </c>
      <c r="AN11" s="5" t="s">
        <v>46</v>
      </c>
      <c r="AO11" s="5" t="s">
        <v>48</v>
      </c>
      <c r="AP11" s="5" t="s">
        <v>46</v>
      </c>
      <c r="AQ11" s="5" t="s">
        <v>52</v>
      </c>
    </row>
    <row r="12" spans="1:43" ht="22.5" customHeight="1" x14ac:dyDescent="0.2">
      <c r="A12" s="4">
        <v>46213.499384432871</v>
      </c>
      <c r="B12" s="5" t="s">
        <v>66</v>
      </c>
      <c r="C12" s="5" t="s">
        <v>44</v>
      </c>
      <c r="D12" s="5" t="s">
        <v>45</v>
      </c>
      <c r="E12" s="5" t="s">
        <v>47</v>
      </c>
      <c r="F12" s="5" t="s">
        <v>48</v>
      </c>
      <c r="G12" s="5" t="s">
        <v>47</v>
      </c>
      <c r="H12" s="5" t="s">
        <v>48</v>
      </c>
      <c r="I12" s="5" t="s">
        <v>46</v>
      </c>
      <c r="J12" s="5" t="s">
        <v>48</v>
      </c>
      <c r="K12" s="5" t="s">
        <v>47</v>
      </c>
      <c r="L12" s="5" t="s">
        <v>47</v>
      </c>
      <c r="M12" s="5" t="s">
        <v>46</v>
      </c>
      <c r="N12" s="5" t="s">
        <v>48</v>
      </c>
      <c r="O12" s="5" t="s">
        <v>47</v>
      </c>
      <c r="P12" s="5" t="s">
        <v>47</v>
      </c>
      <c r="Q12" s="5" t="s">
        <v>54</v>
      </c>
      <c r="R12" s="5" t="s">
        <v>46</v>
      </c>
      <c r="S12" s="5" t="s">
        <v>47</v>
      </c>
      <c r="T12" s="5" t="s">
        <v>47</v>
      </c>
      <c r="U12" s="5" t="s">
        <v>47</v>
      </c>
      <c r="V12" s="5" t="s">
        <v>47</v>
      </c>
      <c r="W12" s="5" t="s">
        <v>48</v>
      </c>
      <c r="X12" s="5" t="s">
        <v>47</v>
      </c>
      <c r="Y12" s="5" t="s">
        <v>47</v>
      </c>
      <c r="Z12" s="5" t="s">
        <v>48</v>
      </c>
      <c r="AA12" s="5" t="s">
        <v>48</v>
      </c>
      <c r="AB12" s="5" t="s">
        <v>47</v>
      </c>
      <c r="AC12" s="5" t="s">
        <v>48</v>
      </c>
      <c r="AD12" s="5" t="s">
        <v>52</v>
      </c>
      <c r="AE12" s="5" t="s">
        <v>46</v>
      </c>
      <c r="AF12" s="5" t="s">
        <v>46</v>
      </c>
      <c r="AG12" s="5" t="s">
        <v>46</v>
      </c>
      <c r="AH12" s="5" t="s">
        <v>46</v>
      </c>
      <c r="AI12" s="5" t="s">
        <v>48</v>
      </c>
      <c r="AJ12" s="5" t="s">
        <v>47</v>
      </c>
      <c r="AK12" s="5" t="s">
        <v>48</v>
      </c>
      <c r="AL12" s="5" t="s">
        <v>48</v>
      </c>
      <c r="AM12" s="5" t="s">
        <v>50</v>
      </c>
      <c r="AN12" s="5" t="s">
        <v>47</v>
      </c>
      <c r="AO12" s="5" t="s">
        <v>50</v>
      </c>
      <c r="AP12" s="5" t="s">
        <v>50</v>
      </c>
      <c r="AQ12" s="5" t="s">
        <v>52</v>
      </c>
    </row>
    <row r="13" spans="1:43" ht="22.5" customHeight="1" x14ac:dyDescent="0.2">
      <c r="A13" s="4">
        <v>46213.560036192124</v>
      </c>
      <c r="B13" s="5" t="s">
        <v>67</v>
      </c>
      <c r="C13" s="5" t="s">
        <v>44</v>
      </c>
      <c r="D13" s="5" t="s">
        <v>45</v>
      </c>
      <c r="E13" s="5" t="s">
        <v>48</v>
      </c>
      <c r="F13" s="5" t="s">
        <v>48</v>
      </c>
      <c r="G13" s="5" t="s">
        <v>48</v>
      </c>
      <c r="H13" s="5" t="s">
        <v>48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47</v>
      </c>
      <c r="O13" s="5" t="s">
        <v>47</v>
      </c>
      <c r="P13" s="5" t="s">
        <v>47</v>
      </c>
      <c r="Q13" s="5" t="s">
        <v>62</v>
      </c>
      <c r="R13" s="5" t="s">
        <v>47</v>
      </c>
      <c r="S13" s="5" t="s">
        <v>47</v>
      </c>
      <c r="T13" s="5" t="s">
        <v>47</v>
      </c>
      <c r="U13" s="5" t="s">
        <v>47</v>
      </c>
      <c r="V13" s="5" t="s">
        <v>47</v>
      </c>
      <c r="W13" s="5" t="s">
        <v>47</v>
      </c>
      <c r="X13" s="5" t="s">
        <v>47</v>
      </c>
      <c r="Y13" s="5" t="s">
        <v>47</v>
      </c>
      <c r="Z13" s="5" t="s">
        <v>47</v>
      </c>
      <c r="AA13" s="5" t="s">
        <v>47</v>
      </c>
      <c r="AB13" s="5" t="s">
        <v>47</v>
      </c>
      <c r="AC13" s="5" t="s">
        <v>47</v>
      </c>
      <c r="AD13" s="5" t="s">
        <v>60</v>
      </c>
      <c r="AE13" s="5" t="s">
        <v>47</v>
      </c>
      <c r="AF13" s="5" t="s">
        <v>47</v>
      </c>
      <c r="AG13" s="5" t="s">
        <v>47</v>
      </c>
      <c r="AH13" s="5" t="s">
        <v>47</v>
      </c>
      <c r="AI13" s="5" t="s">
        <v>47</v>
      </c>
      <c r="AJ13" s="5" t="s">
        <v>47</v>
      </c>
      <c r="AK13" s="5" t="s">
        <v>47</v>
      </c>
      <c r="AL13" s="5" t="s">
        <v>47</v>
      </c>
      <c r="AM13" s="5" t="s">
        <v>47</v>
      </c>
      <c r="AN13" s="5" t="s">
        <v>47</v>
      </c>
      <c r="AO13" s="5" t="s">
        <v>47</v>
      </c>
      <c r="AP13" s="5" t="s">
        <v>47</v>
      </c>
      <c r="AQ13" s="5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13"/>
  <sheetViews>
    <sheetView tabSelected="1" workbookViewId="0">
      <pane ySplit="1" topLeftCell="A2" activePane="bottomLeft" state="frozen"/>
      <selection pane="bottomLeft" activeCell="B15" sqref="B15"/>
    </sheetView>
  </sheetViews>
  <sheetFormatPr defaultColWidth="12.5703125" defaultRowHeight="15.75" customHeight="1" x14ac:dyDescent="0.2"/>
  <cols>
    <col min="1" max="4" width="18.85546875" customWidth="1"/>
    <col min="5" max="5" width="21.42578125" customWidth="1"/>
    <col min="6" max="6" width="17.7109375" customWidth="1"/>
    <col min="7" max="8" width="16.5703125" customWidth="1"/>
    <col min="9" max="9" width="15.5703125" customWidth="1"/>
    <col min="10" max="10" width="13.42578125" customWidth="1"/>
    <col min="11" max="43" width="37.5703125" customWidth="1"/>
    <col min="44" max="49" width="18.85546875" customWidth="1"/>
  </cols>
  <sheetData>
    <row r="1" spans="1:4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2.5" customHeight="1" x14ac:dyDescent="0.2">
      <c r="A2" s="6">
        <v>46212.902469074077</v>
      </c>
      <c r="B2" s="7" t="s">
        <v>43</v>
      </c>
      <c r="C2" s="7" t="s">
        <v>44</v>
      </c>
      <c r="D2" s="7" t="s">
        <v>45</v>
      </c>
      <c r="E2" s="7">
        <v>5</v>
      </c>
      <c r="F2" s="7">
        <v>5</v>
      </c>
      <c r="G2" s="7">
        <v>5</v>
      </c>
      <c r="H2" s="7">
        <v>5</v>
      </c>
      <c r="I2" s="7">
        <v>4</v>
      </c>
      <c r="J2" s="7">
        <v>5</v>
      </c>
      <c r="K2" s="7">
        <v>5</v>
      </c>
      <c r="L2" s="7">
        <v>4</v>
      </c>
      <c r="M2" s="7">
        <v>4</v>
      </c>
      <c r="N2" s="7">
        <v>5</v>
      </c>
      <c r="O2" s="7">
        <v>5</v>
      </c>
      <c r="P2" s="7">
        <v>3</v>
      </c>
      <c r="Q2" s="7" t="s">
        <v>49</v>
      </c>
      <c r="R2" s="7">
        <v>5</v>
      </c>
      <c r="S2" s="7">
        <v>5</v>
      </c>
      <c r="T2" s="7">
        <v>5</v>
      </c>
      <c r="U2" s="7">
        <v>5</v>
      </c>
      <c r="V2" s="7">
        <v>3</v>
      </c>
      <c r="W2" s="7">
        <v>5</v>
      </c>
      <c r="X2" s="7">
        <v>2</v>
      </c>
      <c r="Y2" s="7">
        <v>1</v>
      </c>
      <c r="Z2" s="7">
        <v>4</v>
      </c>
      <c r="AA2" s="7">
        <v>5</v>
      </c>
      <c r="AB2" s="7">
        <v>5</v>
      </c>
      <c r="AC2" s="7">
        <v>3</v>
      </c>
      <c r="AD2" s="7" t="s">
        <v>52</v>
      </c>
      <c r="AE2" s="7">
        <v>4</v>
      </c>
      <c r="AF2" s="7">
        <v>5</v>
      </c>
      <c r="AG2" s="7">
        <v>5</v>
      </c>
      <c r="AH2" s="7">
        <v>4</v>
      </c>
      <c r="AI2" s="7">
        <v>3</v>
      </c>
      <c r="AJ2" s="7">
        <v>5</v>
      </c>
      <c r="AK2" s="7">
        <v>4</v>
      </c>
      <c r="AL2" s="7">
        <v>3</v>
      </c>
      <c r="AM2" s="7">
        <v>3</v>
      </c>
      <c r="AN2" s="7">
        <v>5</v>
      </c>
      <c r="AO2" s="7">
        <v>1</v>
      </c>
      <c r="AP2" s="7">
        <v>2</v>
      </c>
      <c r="AQ2" s="7" t="s">
        <v>52</v>
      </c>
    </row>
    <row r="3" spans="1:43" ht="22.5" customHeight="1" x14ac:dyDescent="0.2">
      <c r="A3" s="6">
        <v>46212.910270023145</v>
      </c>
      <c r="B3" s="7" t="s">
        <v>53</v>
      </c>
      <c r="C3" s="7" t="s">
        <v>44</v>
      </c>
      <c r="D3" s="7" t="s">
        <v>45</v>
      </c>
      <c r="E3" s="7">
        <v>5</v>
      </c>
      <c r="F3" s="7">
        <v>5</v>
      </c>
      <c r="G3" s="7">
        <v>5</v>
      </c>
      <c r="H3" s="7">
        <v>5</v>
      </c>
      <c r="I3" s="7">
        <v>5</v>
      </c>
      <c r="J3" s="7">
        <v>5</v>
      </c>
      <c r="K3" s="7">
        <v>5</v>
      </c>
      <c r="L3" s="7">
        <v>5</v>
      </c>
      <c r="M3" s="7">
        <v>5</v>
      </c>
      <c r="N3" s="7">
        <v>5</v>
      </c>
      <c r="O3" s="7">
        <v>5</v>
      </c>
      <c r="P3" s="7">
        <v>5</v>
      </c>
      <c r="Q3" s="7" t="s">
        <v>54</v>
      </c>
      <c r="R3" s="7">
        <v>5</v>
      </c>
      <c r="S3" s="7">
        <v>5</v>
      </c>
      <c r="T3" s="7">
        <v>5</v>
      </c>
      <c r="U3" s="7">
        <v>5</v>
      </c>
      <c r="V3" s="7">
        <v>5</v>
      </c>
      <c r="W3" s="7">
        <v>5</v>
      </c>
      <c r="X3" s="7">
        <v>5</v>
      </c>
      <c r="Y3" s="7">
        <v>5</v>
      </c>
      <c r="Z3" s="7">
        <v>5</v>
      </c>
      <c r="AA3" s="7">
        <v>5</v>
      </c>
      <c r="AB3" s="7">
        <v>5</v>
      </c>
      <c r="AC3" s="7">
        <v>5</v>
      </c>
      <c r="AD3" s="7" t="s">
        <v>55</v>
      </c>
      <c r="AE3" s="7">
        <v>5</v>
      </c>
      <c r="AF3" s="7">
        <v>5</v>
      </c>
      <c r="AG3" s="7">
        <v>5</v>
      </c>
      <c r="AH3" s="7">
        <v>5</v>
      </c>
      <c r="AI3" s="7">
        <v>5</v>
      </c>
      <c r="AJ3" s="7">
        <v>5</v>
      </c>
      <c r="AK3" s="7">
        <v>5</v>
      </c>
      <c r="AL3" s="7">
        <v>5</v>
      </c>
      <c r="AM3" s="7">
        <v>5</v>
      </c>
      <c r="AN3" s="7">
        <v>5</v>
      </c>
      <c r="AO3" s="7">
        <v>5</v>
      </c>
      <c r="AP3" s="7">
        <v>5</v>
      </c>
      <c r="AQ3" s="7" t="s">
        <v>52</v>
      </c>
    </row>
    <row r="4" spans="1:43" ht="22.5" customHeight="1" x14ac:dyDescent="0.2">
      <c r="A4" s="6">
        <v>46212.91811136574</v>
      </c>
      <c r="B4" s="7" t="s">
        <v>56</v>
      </c>
      <c r="C4" s="7" t="s">
        <v>44</v>
      </c>
      <c r="D4" s="7" t="s">
        <v>45</v>
      </c>
      <c r="E4" s="7">
        <v>5</v>
      </c>
      <c r="F4" s="7">
        <v>5</v>
      </c>
      <c r="G4" s="7">
        <v>5</v>
      </c>
      <c r="H4" s="7">
        <v>5</v>
      </c>
      <c r="I4" s="7">
        <v>4</v>
      </c>
      <c r="J4" s="7">
        <v>5</v>
      </c>
      <c r="K4" s="7">
        <v>5</v>
      </c>
      <c r="L4" s="7">
        <v>4</v>
      </c>
      <c r="M4" s="7">
        <v>5</v>
      </c>
      <c r="N4" s="7">
        <v>5</v>
      </c>
      <c r="O4" s="7">
        <v>5</v>
      </c>
      <c r="P4" s="7">
        <v>4</v>
      </c>
      <c r="Q4" s="7" t="s">
        <v>49</v>
      </c>
      <c r="R4" s="7">
        <v>5</v>
      </c>
      <c r="S4" s="7">
        <v>4</v>
      </c>
      <c r="T4" s="7">
        <v>5</v>
      </c>
      <c r="U4" s="7">
        <v>5</v>
      </c>
      <c r="V4" s="7">
        <v>3</v>
      </c>
      <c r="W4" s="7">
        <v>4</v>
      </c>
      <c r="X4" s="7">
        <v>4</v>
      </c>
      <c r="Y4" s="7">
        <v>4</v>
      </c>
      <c r="Z4" s="7">
        <v>4</v>
      </c>
      <c r="AA4" s="7">
        <v>5</v>
      </c>
      <c r="AB4" s="7">
        <v>4</v>
      </c>
      <c r="AC4" s="7">
        <v>5</v>
      </c>
      <c r="AD4" s="7" t="s">
        <v>52</v>
      </c>
      <c r="AE4" s="7">
        <v>5</v>
      </c>
      <c r="AF4" s="7">
        <v>5</v>
      </c>
      <c r="AG4" s="7">
        <v>5</v>
      </c>
      <c r="AH4" s="7">
        <v>5</v>
      </c>
      <c r="AI4" s="7">
        <v>4</v>
      </c>
      <c r="AJ4" s="7">
        <v>5</v>
      </c>
      <c r="AK4" s="7">
        <v>5</v>
      </c>
      <c r="AL4" s="7">
        <v>5</v>
      </c>
      <c r="AM4" s="7">
        <v>5</v>
      </c>
      <c r="AN4" s="7">
        <v>5</v>
      </c>
      <c r="AO4" s="7">
        <v>5</v>
      </c>
      <c r="AP4" s="7">
        <v>5</v>
      </c>
      <c r="AQ4" s="7" t="s">
        <v>52</v>
      </c>
    </row>
    <row r="5" spans="1:43" ht="22.5" customHeight="1" x14ac:dyDescent="0.2">
      <c r="A5" s="6">
        <v>46212.920845833331</v>
      </c>
      <c r="B5" s="7" t="s">
        <v>57</v>
      </c>
      <c r="C5" s="7" t="s">
        <v>44</v>
      </c>
      <c r="D5" s="7" t="s">
        <v>45</v>
      </c>
      <c r="E5" s="7">
        <v>4</v>
      </c>
      <c r="F5" s="7">
        <v>4</v>
      </c>
      <c r="G5" s="7">
        <v>4</v>
      </c>
      <c r="H5" s="7">
        <v>5</v>
      </c>
      <c r="I5" s="7">
        <v>4</v>
      </c>
      <c r="J5" s="7">
        <v>4</v>
      </c>
      <c r="K5" s="7">
        <v>4</v>
      </c>
      <c r="L5" s="7">
        <v>5</v>
      </c>
      <c r="M5" s="7">
        <v>4</v>
      </c>
      <c r="N5" s="7">
        <v>2</v>
      </c>
      <c r="O5" s="7">
        <v>4</v>
      </c>
      <c r="P5" s="7">
        <v>2</v>
      </c>
      <c r="Q5" s="7" t="s">
        <v>49</v>
      </c>
      <c r="R5" s="7">
        <v>3</v>
      </c>
      <c r="S5" s="7">
        <v>3</v>
      </c>
      <c r="T5" s="7">
        <v>4</v>
      </c>
      <c r="U5" s="7">
        <v>3</v>
      </c>
      <c r="V5" s="7">
        <v>3</v>
      </c>
      <c r="W5" s="7">
        <v>3</v>
      </c>
      <c r="X5" s="7">
        <v>4</v>
      </c>
      <c r="Y5" s="7">
        <v>3</v>
      </c>
      <c r="Z5" s="7">
        <v>4</v>
      </c>
      <c r="AA5" s="7">
        <v>3</v>
      </c>
      <c r="AB5" s="7">
        <v>4</v>
      </c>
      <c r="AC5" s="7">
        <v>4</v>
      </c>
      <c r="AD5" s="7" t="s">
        <v>55</v>
      </c>
      <c r="AE5" s="7">
        <v>4</v>
      </c>
      <c r="AF5" s="7">
        <v>4</v>
      </c>
      <c r="AG5" s="7">
        <v>4</v>
      </c>
      <c r="AH5" s="7">
        <v>4</v>
      </c>
      <c r="AI5" s="7">
        <v>3</v>
      </c>
      <c r="AJ5" s="7">
        <v>4</v>
      </c>
      <c r="AK5" s="7">
        <v>4</v>
      </c>
      <c r="AL5" s="7">
        <v>3</v>
      </c>
      <c r="AM5" s="7">
        <v>4</v>
      </c>
      <c r="AN5" s="7">
        <v>4</v>
      </c>
      <c r="AO5" s="7">
        <v>4</v>
      </c>
      <c r="AP5" s="7">
        <v>3</v>
      </c>
      <c r="AQ5" s="7" t="s">
        <v>52</v>
      </c>
    </row>
    <row r="6" spans="1:43" ht="22.5" customHeight="1" x14ac:dyDescent="0.2">
      <c r="A6" s="6">
        <v>46212.921618877313</v>
      </c>
      <c r="B6" s="7" t="s">
        <v>58</v>
      </c>
      <c r="C6" s="7" t="s">
        <v>44</v>
      </c>
      <c r="D6" s="7" t="s">
        <v>45</v>
      </c>
      <c r="E6" s="7">
        <v>4</v>
      </c>
      <c r="F6" s="7">
        <v>4</v>
      </c>
      <c r="G6" s="7">
        <v>5</v>
      </c>
      <c r="H6" s="7">
        <v>5</v>
      </c>
      <c r="I6" s="7">
        <v>4</v>
      </c>
      <c r="J6" s="7">
        <v>3</v>
      </c>
      <c r="K6" s="7">
        <v>5</v>
      </c>
      <c r="L6" s="7">
        <v>5</v>
      </c>
      <c r="M6" s="7">
        <v>4</v>
      </c>
      <c r="N6" s="7">
        <v>4</v>
      </c>
      <c r="O6" s="7">
        <v>5</v>
      </c>
      <c r="P6" s="7">
        <v>5</v>
      </c>
      <c r="Q6" s="7" t="s">
        <v>49</v>
      </c>
      <c r="R6" s="7">
        <v>4</v>
      </c>
      <c r="S6" s="7">
        <v>3</v>
      </c>
      <c r="T6" s="7">
        <v>4</v>
      </c>
      <c r="U6" s="7">
        <v>4</v>
      </c>
      <c r="V6" s="7">
        <v>3</v>
      </c>
      <c r="W6" s="7">
        <v>3</v>
      </c>
      <c r="X6" s="7">
        <v>5</v>
      </c>
      <c r="Y6" s="7">
        <v>4</v>
      </c>
      <c r="Z6" s="7">
        <v>3</v>
      </c>
      <c r="AA6" s="7">
        <v>3</v>
      </c>
      <c r="AB6" s="7">
        <v>5</v>
      </c>
      <c r="AC6" s="7">
        <v>4</v>
      </c>
      <c r="AD6" s="7" t="s">
        <v>52</v>
      </c>
      <c r="AE6" s="7">
        <v>4</v>
      </c>
      <c r="AF6" s="7">
        <v>5</v>
      </c>
      <c r="AG6" s="7">
        <v>5</v>
      </c>
      <c r="AH6" s="7">
        <v>5</v>
      </c>
      <c r="AI6" s="7">
        <v>4</v>
      </c>
      <c r="AJ6" s="7">
        <v>4</v>
      </c>
      <c r="AK6" s="7">
        <v>5</v>
      </c>
      <c r="AL6" s="7">
        <v>5</v>
      </c>
      <c r="AM6" s="7">
        <v>4</v>
      </c>
      <c r="AN6" s="7">
        <v>5</v>
      </c>
      <c r="AO6" s="7">
        <v>5</v>
      </c>
      <c r="AP6" s="7">
        <v>5</v>
      </c>
      <c r="AQ6" s="7" t="s">
        <v>55</v>
      </c>
    </row>
    <row r="7" spans="1:43" ht="22.5" customHeight="1" x14ac:dyDescent="0.2">
      <c r="A7" s="6">
        <v>46212.923844780089</v>
      </c>
      <c r="B7" s="7" t="s">
        <v>59</v>
      </c>
      <c r="C7" s="7" t="s">
        <v>44</v>
      </c>
      <c r="D7" s="7" t="s">
        <v>45</v>
      </c>
      <c r="E7" s="7">
        <v>4</v>
      </c>
      <c r="F7" s="7">
        <v>3</v>
      </c>
      <c r="G7" s="7">
        <v>4</v>
      </c>
      <c r="H7" s="7">
        <v>4</v>
      </c>
      <c r="I7" s="7">
        <v>4</v>
      </c>
      <c r="J7" s="7">
        <v>4</v>
      </c>
      <c r="K7" s="7">
        <v>4</v>
      </c>
      <c r="L7" s="7">
        <v>4</v>
      </c>
      <c r="M7" s="7">
        <v>4</v>
      </c>
      <c r="N7" s="7">
        <v>3</v>
      </c>
      <c r="O7" s="7">
        <v>4</v>
      </c>
      <c r="P7" s="7">
        <v>4</v>
      </c>
      <c r="Q7" s="7" t="s">
        <v>54</v>
      </c>
      <c r="R7" s="7">
        <v>4</v>
      </c>
      <c r="S7" s="7">
        <v>3</v>
      </c>
      <c r="T7" s="7">
        <v>4</v>
      </c>
      <c r="U7" s="7">
        <v>4</v>
      </c>
      <c r="V7" s="7">
        <v>4</v>
      </c>
      <c r="W7" s="7">
        <v>3</v>
      </c>
      <c r="X7" s="7">
        <v>4</v>
      </c>
      <c r="Y7" s="7">
        <v>4</v>
      </c>
      <c r="Z7" s="7">
        <v>4</v>
      </c>
      <c r="AA7" s="7">
        <v>3</v>
      </c>
      <c r="AB7" s="7">
        <v>4</v>
      </c>
      <c r="AC7" s="7">
        <v>4</v>
      </c>
      <c r="AD7" s="7" t="s">
        <v>60</v>
      </c>
      <c r="AE7" s="7">
        <v>4</v>
      </c>
      <c r="AF7" s="7">
        <v>4</v>
      </c>
      <c r="AG7" s="7">
        <v>4</v>
      </c>
      <c r="AH7" s="7">
        <v>4</v>
      </c>
      <c r="AI7" s="7">
        <v>4</v>
      </c>
      <c r="AJ7" s="7">
        <v>4</v>
      </c>
      <c r="AK7" s="7">
        <v>4</v>
      </c>
      <c r="AL7" s="7">
        <v>4</v>
      </c>
      <c r="AM7" s="7">
        <v>4</v>
      </c>
      <c r="AN7" s="7">
        <v>4</v>
      </c>
      <c r="AO7" s="7">
        <v>4</v>
      </c>
      <c r="AP7" s="7">
        <v>4</v>
      </c>
      <c r="AQ7" s="7" t="s">
        <v>52</v>
      </c>
    </row>
    <row r="8" spans="1:43" ht="22.5" customHeight="1" x14ac:dyDescent="0.2">
      <c r="A8" s="6">
        <v>46212.924584074077</v>
      </c>
      <c r="B8" s="7" t="s">
        <v>61</v>
      </c>
      <c r="C8" s="7" t="s">
        <v>44</v>
      </c>
      <c r="D8" s="7" t="s">
        <v>45</v>
      </c>
      <c r="E8" s="7">
        <v>4</v>
      </c>
      <c r="F8" s="7">
        <v>3</v>
      </c>
      <c r="G8" s="7">
        <v>5</v>
      </c>
      <c r="H8" s="7">
        <v>4</v>
      </c>
      <c r="I8" s="7">
        <v>4</v>
      </c>
      <c r="J8" s="7">
        <v>4</v>
      </c>
      <c r="K8" s="7">
        <v>2</v>
      </c>
      <c r="L8" s="7">
        <v>4</v>
      </c>
      <c r="M8" s="7">
        <v>5</v>
      </c>
      <c r="N8" s="7">
        <v>5</v>
      </c>
      <c r="O8" s="7">
        <v>4</v>
      </c>
      <c r="P8" s="7">
        <v>5</v>
      </c>
      <c r="Q8" s="7" t="s">
        <v>62</v>
      </c>
      <c r="R8" s="7">
        <v>4</v>
      </c>
      <c r="S8" s="7">
        <v>5</v>
      </c>
      <c r="T8" s="7">
        <v>4</v>
      </c>
      <c r="U8" s="7">
        <v>4</v>
      </c>
      <c r="V8" s="7">
        <v>5</v>
      </c>
      <c r="W8" s="7">
        <v>5</v>
      </c>
      <c r="X8" s="7">
        <v>1</v>
      </c>
      <c r="Y8" s="7">
        <v>5</v>
      </c>
      <c r="Z8" s="7">
        <v>4</v>
      </c>
      <c r="AA8" s="7">
        <v>4</v>
      </c>
      <c r="AB8" s="7">
        <v>4</v>
      </c>
      <c r="AC8" s="7">
        <v>4</v>
      </c>
      <c r="AD8" s="7" t="s">
        <v>52</v>
      </c>
      <c r="AE8" s="7">
        <v>4</v>
      </c>
      <c r="AF8" s="7">
        <v>5</v>
      </c>
      <c r="AG8" s="7">
        <v>4</v>
      </c>
      <c r="AH8" s="7">
        <v>4</v>
      </c>
      <c r="AI8" s="7">
        <v>4</v>
      </c>
      <c r="AJ8" s="7">
        <v>5</v>
      </c>
      <c r="AK8" s="7">
        <v>3</v>
      </c>
      <c r="AL8" s="7">
        <v>4</v>
      </c>
      <c r="AM8" s="7">
        <v>4</v>
      </c>
      <c r="AN8" s="7">
        <v>5</v>
      </c>
      <c r="AO8" s="7">
        <v>1</v>
      </c>
      <c r="AP8" s="7">
        <v>4</v>
      </c>
      <c r="AQ8" s="7" t="s">
        <v>52</v>
      </c>
    </row>
    <row r="9" spans="1:43" ht="22.5" customHeight="1" x14ac:dyDescent="0.2">
      <c r="A9" s="6">
        <v>46212.93173030093</v>
      </c>
      <c r="B9" s="7" t="s">
        <v>63</v>
      </c>
      <c r="C9" s="7" t="s">
        <v>44</v>
      </c>
      <c r="D9" s="7" t="s">
        <v>45</v>
      </c>
      <c r="E9" s="7">
        <v>4</v>
      </c>
      <c r="F9" s="7">
        <v>3</v>
      </c>
      <c r="G9" s="7">
        <v>4</v>
      </c>
      <c r="H9" s="7">
        <v>4</v>
      </c>
      <c r="I9" s="7">
        <v>4</v>
      </c>
      <c r="J9" s="7">
        <v>3</v>
      </c>
      <c r="K9" s="7">
        <v>5</v>
      </c>
      <c r="L9" s="7">
        <v>3</v>
      </c>
      <c r="M9" s="7">
        <v>5</v>
      </c>
      <c r="N9" s="7">
        <v>4</v>
      </c>
      <c r="O9" s="7">
        <v>5</v>
      </c>
      <c r="P9" s="7">
        <v>5</v>
      </c>
      <c r="Q9" s="7" t="s">
        <v>49</v>
      </c>
      <c r="R9" s="7">
        <v>4</v>
      </c>
      <c r="S9" s="7">
        <v>5</v>
      </c>
      <c r="T9" s="7">
        <v>5</v>
      </c>
      <c r="U9" s="7">
        <v>5</v>
      </c>
      <c r="V9" s="7">
        <v>4</v>
      </c>
      <c r="W9" s="7">
        <v>4</v>
      </c>
      <c r="X9" s="7">
        <v>3</v>
      </c>
      <c r="Y9" s="7">
        <v>3</v>
      </c>
      <c r="Z9" s="7">
        <v>4</v>
      </c>
      <c r="AA9" s="7">
        <v>4</v>
      </c>
      <c r="AB9" s="7">
        <v>2</v>
      </c>
      <c r="AC9" s="7">
        <v>4</v>
      </c>
      <c r="AD9" s="7" t="s">
        <v>52</v>
      </c>
      <c r="AE9" s="7">
        <v>5</v>
      </c>
      <c r="AF9" s="7">
        <v>5</v>
      </c>
      <c r="AG9" s="7">
        <v>5</v>
      </c>
      <c r="AH9" s="7">
        <v>5</v>
      </c>
      <c r="AI9" s="7">
        <v>4</v>
      </c>
      <c r="AJ9" s="7">
        <v>5</v>
      </c>
      <c r="AK9" s="7">
        <v>5</v>
      </c>
      <c r="AL9" s="7">
        <v>5</v>
      </c>
      <c r="AM9" s="7">
        <v>4</v>
      </c>
      <c r="AN9" s="7">
        <v>5</v>
      </c>
      <c r="AO9" s="7">
        <v>3</v>
      </c>
      <c r="AP9" s="7">
        <v>5</v>
      </c>
      <c r="AQ9" s="7" t="s">
        <v>60</v>
      </c>
    </row>
    <row r="10" spans="1:43" ht="22.5" customHeight="1" x14ac:dyDescent="0.2">
      <c r="A10" s="6">
        <v>46212.932119097226</v>
      </c>
      <c r="B10" s="7" t="s">
        <v>64</v>
      </c>
      <c r="C10" s="7" t="s">
        <v>44</v>
      </c>
      <c r="D10" s="7" t="s">
        <v>45</v>
      </c>
      <c r="E10" s="7">
        <v>4</v>
      </c>
      <c r="F10" s="7">
        <v>3</v>
      </c>
      <c r="G10" s="7">
        <v>4</v>
      </c>
      <c r="H10" s="7">
        <v>4</v>
      </c>
      <c r="I10" s="7">
        <v>4</v>
      </c>
      <c r="J10" s="7">
        <v>4</v>
      </c>
      <c r="K10" s="7">
        <v>4</v>
      </c>
      <c r="L10" s="7">
        <v>4</v>
      </c>
      <c r="M10" s="7">
        <v>5</v>
      </c>
      <c r="N10" s="7">
        <v>5</v>
      </c>
      <c r="O10" s="7">
        <v>4</v>
      </c>
      <c r="P10" s="7">
        <v>5</v>
      </c>
      <c r="Q10" s="7" t="s">
        <v>62</v>
      </c>
      <c r="R10" s="7">
        <v>4</v>
      </c>
      <c r="S10" s="7">
        <v>3</v>
      </c>
      <c r="T10" s="7">
        <v>3</v>
      </c>
      <c r="U10" s="7">
        <v>3</v>
      </c>
      <c r="V10" s="7">
        <v>5</v>
      </c>
      <c r="W10" s="7">
        <v>3</v>
      </c>
      <c r="X10" s="7">
        <v>3</v>
      </c>
      <c r="Y10" s="7">
        <v>3</v>
      </c>
      <c r="Z10" s="7">
        <v>4</v>
      </c>
      <c r="AA10" s="7">
        <v>4</v>
      </c>
      <c r="AB10" s="7">
        <v>4</v>
      </c>
      <c r="AC10" s="7">
        <v>4</v>
      </c>
      <c r="AD10" s="7" t="s">
        <v>60</v>
      </c>
      <c r="AE10" s="7">
        <v>5</v>
      </c>
      <c r="AF10" s="7">
        <v>5</v>
      </c>
      <c r="AG10" s="7">
        <v>5</v>
      </c>
      <c r="AH10" s="7">
        <v>5</v>
      </c>
      <c r="AI10" s="7">
        <v>4</v>
      </c>
      <c r="AJ10" s="7">
        <v>5</v>
      </c>
      <c r="AK10" s="7">
        <v>4</v>
      </c>
      <c r="AL10" s="7">
        <v>4</v>
      </c>
      <c r="AM10" s="7">
        <v>5</v>
      </c>
      <c r="AN10" s="7">
        <v>5</v>
      </c>
      <c r="AO10" s="7">
        <v>4</v>
      </c>
      <c r="AP10" s="7">
        <v>4</v>
      </c>
      <c r="AQ10" s="7" t="s">
        <v>52</v>
      </c>
    </row>
    <row r="11" spans="1:43" ht="22.5" customHeight="1" x14ac:dyDescent="0.2">
      <c r="A11" s="8">
        <v>46213.474620682871</v>
      </c>
      <c r="B11" s="9" t="s">
        <v>65</v>
      </c>
      <c r="C11" s="9" t="s">
        <v>44</v>
      </c>
      <c r="D11" s="9" t="s">
        <v>45</v>
      </c>
      <c r="E11" s="9">
        <v>3</v>
      </c>
      <c r="F11" s="9">
        <v>4</v>
      </c>
      <c r="G11" s="9">
        <v>3</v>
      </c>
      <c r="H11" s="9">
        <v>4</v>
      </c>
      <c r="I11" s="9">
        <v>4</v>
      </c>
      <c r="J11" s="9">
        <v>4</v>
      </c>
      <c r="K11" s="9">
        <v>4</v>
      </c>
      <c r="L11" s="9">
        <v>4</v>
      </c>
      <c r="M11" s="9">
        <v>5</v>
      </c>
      <c r="N11" s="9">
        <v>5</v>
      </c>
      <c r="O11" s="9">
        <v>5</v>
      </c>
      <c r="P11" s="9">
        <v>5</v>
      </c>
      <c r="Q11" s="9" t="s">
        <v>62</v>
      </c>
      <c r="R11" s="9">
        <v>3</v>
      </c>
      <c r="S11" s="9">
        <v>2</v>
      </c>
      <c r="T11" s="9">
        <v>4</v>
      </c>
      <c r="U11" s="9">
        <v>3</v>
      </c>
      <c r="V11" s="9">
        <v>4</v>
      </c>
      <c r="W11" s="9">
        <v>2</v>
      </c>
      <c r="X11" s="9">
        <v>3</v>
      </c>
      <c r="Y11" s="9">
        <v>3</v>
      </c>
      <c r="Z11" s="9">
        <v>4</v>
      </c>
      <c r="AA11" s="9">
        <v>2</v>
      </c>
      <c r="AB11" s="9">
        <v>3</v>
      </c>
      <c r="AC11" s="9">
        <v>3</v>
      </c>
      <c r="AD11" s="9" t="s">
        <v>52</v>
      </c>
      <c r="AE11" s="9">
        <v>5</v>
      </c>
      <c r="AF11" s="9">
        <v>5</v>
      </c>
      <c r="AG11" s="9">
        <v>5</v>
      </c>
      <c r="AH11" s="9">
        <v>5</v>
      </c>
      <c r="AI11" s="9">
        <v>3</v>
      </c>
      <c r="AJ11" s="9">
        <v>5</v>
      </c>
      <c r="AK11" s="9">
        <v>4</v>
      </c>
      <c r="AL11" s="9">
        <v>4</v>
      </c>
      <c r="AM11" s="9">
        <v>4</v>
      </c>
      <c r="AN11" s="9">
        <v>5</v>
      </c>
      <c r="AO11" s="9">
        <v>3</v>
      </c>
      <c r="AP11" s="9">
        <v>5</v>
      </c>
      <c r="AQ11" s="9" t="s">
        <v>52</v>
      </c>
    </row>
    <row r="12" spans="1:43" ht="22.5" customHeight="1" x14ac:dyDescent="0.2">
      <c r="A12" s="8">
        <v>46213.499384432871</v>
      </c>
      <c r="B12" s="9" t="s">
        <v>66</v>
      </c>
      <c r="C12" s="9" t="s">
        <v>44</v>
      </c>
      <c r="D12" s="9" t="s">
        <v>45</v>
      </c>
      <c r="E12" s="9">
        <v>4</v>
      </c>
      <c r="F12" s="9">
        <v>3</v>
      </c>
      <c r="G12" s="9">
        <v>4</v>
      </c>
      <c r="H12" s="9">
        <v>3</v>
      </c>
      <c r="I12" s="9">
        <v>5</v>
      </c>
      <c r="J12" s="9">
        <v>3</v>
      </c>
      <c r="K12" s="9">
        <v>4</v>
      </c>
      <c r="L12" s="9">
        <v>4</v>
      </c>
      <c r="M12" s="9">
        <v>5</v>
      </c>
      <c r="N12" s="9">
        <v>3</v>
      </c>
      <c r="O12" s="9">
        <v>4</v>
      </c>
      <c r="P12" s="9">
        <v>4</v>
      </c>
      <c r="Q12" s="9" t="s">
        <v>54</v>
      </c>
      <c r="R12" s="9">
        <v>5</v>
      </c>
      <c r="S12" s="9">
        <v>4</v>
      </c>
      <c r="T12" s="9">
        <v>4</v>
      </c>
      <c r="U12" s="9">
        <v>4</v>
      </c>
      <c r="V12" s="9">
        <v>4</v>
      </c>
      <c r="W12" s="9">
        <v>3</v>
      </c>
      <c r="X12" s="9">
        <v>4</v>
      </c>
      <c r="Y12" s="9">
        <v>4</v>
      </c>
      <c r="Z12" s="9">
        <v>3</v>
      </c>
      <c r="AA12" s="9">
        <v>3</v>
      </c>
      <c r="AB12" s="9">
        <v>4</v>
      </c>
      <c r="AC12" s="9">
        <v>3</v>
      </c>
      <c r="AD12" s="9" t="s">
        <v>52</v>
      </c>
      <c r="AE12" s="9">
        <v>5</v>
      </c>
      <c r="AF12" s="9">
        <v>5</v>
      </c>
      <c r="AG12" s="9">
        <v>5</v>
      </c>
      <c r="AH12" s="9">
        <v>5</v>
      </c>
      <c r="AI12" s="9">
        <v>3</v>
      </c>
      <c r="AJ12" s="9">
        <v>4</v>
      </c>
      <c r="AK12" s="9">
        <v>3</v>
      </c>
      <c r="AL12" s="9">
        <v>3</v>
      </c>
      <c r="AM12" s="9">
        <v>2</v>
      </c>
      <c r="AN12" s="9">
        <v>4</v>
      </c>
      <c r="AO12" s="9">
        <v>2</v>
      </c>
      <c r="AP12" s="9">
        <v>2</v>
      </c>
      <c r="AQ12" s="9" t="s">
        <v>52</v>
      </c>
    </row>
    <row r="13" spans="1:43" ht="22.5" customHeight="1" x14ac:dyDescent="0.2">
      <c r="A13" s="8">
        <v>46213.560036192124</v>
      </c>
      <c r="B13" s="9" t="s">
        <v>67</v>
      </c>
      <c r="C13" s="9" t="s">
        <v>44</v>
      </c>
      <c r="D13" s="9" t="s">
        <v>45</v>
      </c>
      <c r="E13" s="9">
        <v>3</v>
      </c>
      <c r="F13" s="9">
        <v>3</v>
      </c>
      <c r="G13" s="9">
        <v>3</v>
      </c>
      <c r="H13" s="9">
        <v>3</v>
      </c>
      <c r="I13" s="9">
        <v>4</v>
      </c>
      <c r="J13" s="9">
        <v>4</v>
      </c>
      <c r="K13" s="9">
        <v>4</v>
      </c>
      <c r="L13" s="9">
        <v>4</v>
      </c>
      <c r="M13" s="9">
        <v>4</v>
      </c>
      <c r="N13" s="9">
        <v>4</v>
      </c>
      <c r="O13" s="9">
        <v>4</v>
      </c>
      <c r="P13" s="9">
        <v>4</v>
      </c>
      <c r="Q13" s="9" t="s">
        <v>62</v>
      </c>
      <c r="R13" s="9">
        <v>4</v>
      </c>
      <c r="S13" s="9">
        <v>4</v>
      </c>
      <c r="T13" s="9">
        <v>4</v>
      </c>
      <c r="U13" s="9">
        <v>4</v>
      </c>
      <c r="V13" s="9">
        <v>4</v>
      </c>
      <c r="W13" s="9">
        <v>4</v>
      </c>
      <c r="X13" s="9">
        <v>4</v>
      </c>
      <c r="Y13" s="9">
        <v>4</v>
      </c>
      <c r="Z13" s="9">
        <v>4</v>
      </c>
      <c r="AA13" s="9">
        <v>4</v>
      </c>
      <c r="AB13" s="9">
        <v>4</v>
      </c>
      <c r="AC13" s="9">
        <v>4</v>
      </c>
      <c r="AD13" s="9" t="s">
        <v>60</v>
      </c>
      <c r="AE13" s="9">
        <v>4</v>
      </c>
      <c r="AF13" s="9">
        <v>4</v>
      </c>
      <c r="AG13" s="9">
        <v>4</v>
      </c>
      <c r="AH13" s="9">
        <v>4</v>
      </c>
      <c r="AI13" s="9">
        <v>4</v>
      </c>
      <c r="AJ13" s="9">
        <v>4</v>
      </c>
      <c r="AK13" s="9">
        <v>4</v>
      </c>
      <c r="AL13" s="9">
        <v>4</v>
      </c>
      <c r="AM13" s="9">
        <v>4</v>
      </c>
      <c r="AN13" s="9">
        <v>4</v>
      </c>
      <c r="AO13" s="9">
        <v>4</v>
      </c>
      <c r="AP13" s="9">
        <v>4</v>
      </c>
      <c r="AQ13" s="9" t="s">
        <v>52</v>
      </c>
    </row>
    <row r="14" spans="1:43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 spans="1:43" ht="12.75" x14ac:dyDescent="0.2">
      <c r="E15" s="10"/>
    </row>
    <row r="16" spans="1:43" ht="12.75" x14ac:dyDescent="0.2">
      <c r="E16" s="10"/>
    </row>
    <row r="17" spans="1:49" ht="12.75" x14ac:dyDescent="0.2">
      <c r="A17" s="11"/>
      <c r="B17" s="11"/>
      <c r="C17" s="11"/>
      <c r="D17" s="12" t="s">
        <v>68</v>
      </c>
      <c r="E17" s="11">
        <f>AVERAGE(Form_Responses_2[Rate Theme 1 Image A based on the following questions:  '[Visual appeal']])</f>
        <v>4.083333333333333</v>
      </c>
      <c r="F17" s="11">
        <f>AVERAGE(Form_Responses_2[Rate Theme 1 Image A based on the following questions:  '[Raksha Bandhan relevance']])</f>
        <v>3.75</v>
      </c>
      <c r="G17" s="11">
        <f>AVERAGE(Form_Responses_2[Rate Theme 1 Image A based on the following questions:  '[Text readability and accuracy']])</f>
        <v>4.25</v>
      </c>
      <c r="H17" s="11">
        <f>AVERAGE(Form_Responses_2[Rate Theme 1 Image A based on the following questions:  '[E-commerce usability']])</f>
        <v>4.25</v>
      </c>
      <c r="I17" s="11">
        <f>AVERAGE(Form_Responses_2[Rate Theme1 Image B based on the following questions: '[Visual appeal']])</f>
        <v>4.166666666666667</v>
      </c>
      <c r="J17" s="11">
        <f>AVERAGE(Form_Responses_2[Rate Theme1 Image B based on the following questions: '[Raksha Bandhan relevance']])</f>
        <v>4</v>
      </c>
      <c r="K17" s="11">
        <f>AVERAGE(Form_Responses_2[Rate Theme1 Image B based on the following questions: '[Text readability and accuracy']])</f>
        <v>4.25</v>
      </c>
      <c r="L17" s="11">
        <f>AVERAGE(Form_Responses_2[Rate Theme1 Image B based on the following questions: '[E-commerce usability']])</f>
        <v>4.166666666666667</v>
      </c>
      <c r="M17" s="11">
        <f>AVERAGE(Form_Responses_2[Rate Theme 1 Image C based on the following questions: '[Visual appeal']])</f>
        <v>4.583333333333333</v>
      </c>
      <c r="N17" s="11">
        <f>AVERAGE(Form_Responses_2[Rate Theme 1 Image C based on the following questions: '[Raksha Bandhan relevance']])</f>
        <v>4.166666666666667</v>
      </c>
      <c r="O17" s="11">
        <f>AVERAGE(Form_Responses_2[Rate Theme 1 Image C based on the following questions: '[Text readability and accuracy']])</f>
        <v>4.5</v>
      </c>
      <c r="P17" s="11">
        <f>AVERAGEA(Form_Responses_2[Rate Theme 1 Image C based on the following questions: '[E-commerce usability']])</f>
        <v>4.25</v>
      </c>
      <c r="Q17" s="11"/>
      <c r="R17" s="11">
        <f>AVERAGE(Form_Responses_2[Rate Theme 2 Image A based on the following questions:  '[Visual appeal']])</f>
        <v>4.166666666666667</v>
      </c>
      <c r="S17" s="11">
        <f>AVERAGE(Form_Responses_2[Rate Theme 2 Image A based on the following questions:  '[Raksha Bandhan relevance']])</f>
        <v>3.8333333333333335</v>
      </c>
      <c r="T17" s="11">
        <f>AVERAGE(Form_Responses_2[Rate Theme 2 Image A based on the following questions:  '[Text readability and accuracy']])</f>
        <v>4.25</v>
      </c>
      <c r="U17" s="11">
        <f>AVERAGE(Form_Responses_2[Rate Theme 2 Image A based on the following questions:  '[E-commerce usability']])</f>
        <v>4.083333333333333</v>
      </c>
      <c r="V17" s="11">
        <f>AVERAGE(Form_Responses_2[Rate  Theme 2  Image B based on the following questions: '[Visual appeal']])</f>
        <v>3.9166666666666665</v>
      </c>
      <c r="W17" s="11">
        <f>AVERAGE(Form_Responses_2[Rate  Theme 2  Image B based on the following questions: '[Raksha Bandhan relevance']])</f>
        <v>3.6666666666666665</v>
      </c>
      <c r="X17" s="11">
        <f>AVERAGE(Form_Responses_2[Rate  Theme 2  Image B based on the following questions: '[Text readability and accuracy']])</f>
        <v>3.5</v>
      </c>
      <c r="Y17" s="11">
        <f>AVERAGE(Form_Responses_2[Rate  Theme 2  Image B based on the following questions: '[E-commerce usability']])</f>
        <v>3.5833333333333335</v>
      </c>
      <c r="Z17" s="11">
        <f>AVERAGE(Form_Responses_2[Rate  Theme 2  Image C based on the following questions: '[Visual appeal']])</f>
        <v>3.9166666666666665</v>
      </c>
      <c r="AA17" s="11">
        <f>AVERAGE(Form_Responses_2[Rate  Theme 2  Image C based on the following questions: '[Raksha Bandhan relevance']])</f>
        <v>3.75</v>
      </c>
      <c r="AB17" s="11">
        <f>AVERAGE(Form_Responses_2[Rate  Theme 2  Image C based on the following questions: '[Text readability and accuracy']])</f>
        <v>4</v>
      </c>
      <c r="AC17" s="11">
        <f>AVERAGE(Form_Responses_2[Rate  Theme 2  Image C based on the following questions: '[E-commerce usability']])</f>
        <v>3.9166666666666665</v>
      </c>
      <c r="AD17" s="11">
        <f>COUNTIF(Form_Responses_2[Which  Theme 2  image would you choose for SUVARNA JEWELS’ Modern Raksha Bandhan jewellery campaign?], "Image A")</f>
        <v>7</v>
      </c>
      <c r="AE17" s="11">
        <f>AVERAGE(Form_Responses_2[Rate  Theme 3  Image A based on the following questions:  '[Visual appeal']])</f>
        <v>4.5</v>
      </c>
      <c r="AF17" s="11">
        <f>AVERAGE(Form_Responses_2[Rate  Theme 3  Image A based on the following questions:  '[Raksha Bandhan relevance']])</f>
        <v>4.75</v>
      </c>
      <c r="AG17" s="11">
        <f>AVERAGE(Form_Responses_2[Rate  Theme 3  Image A based on the following questions:  '[Text readability and accuracy']])</f>
        <v>4.666666666666667</v>
      </c>
      <c r="AH17" s="11">
        <f>AVERAGE(Form_Responses_2[Rate  Theme 3  Image A based on the following questions:  '[E-commerce usability']])</f>
        <v>4.583333333333333</v>
      </c>
      <c r="AI17" s="11">
        <f>AVERAGE(Form_Responses_2[Rate  Theme 3  Image B based on the following questions: '[Visual appeal']])</f>
        <v>3.75</v>
      </c>
      <c r="AJ17" s="11">
        <f>AVERAGE(Form_Responses_2[Rate  Theme 3  Image B based on the following questions: '[Raksha Bandhan relevance']])</f>
        <v>4.583333333333333</v>
      </c>
      <c r="AK17" s="11">
        <f>AVERAGE(Form_Responses_2[Rate  Theme 3  Image B based on the following questions: '[Text readability and accuracy']])</f>
        <v>4.166666666666667</v>
      </c>
      <c r="AL17" s="11">
        <f>AVERAGE(Form_Responses_2[Rate  Theme 3  Image B based on the following questions: '[E-commerce usability']])</f>
        <v>4.083333333333333</v>
      </c>
      <c r="AM17" s="11">
        <f>AVERAGE(Form_Responses_2[Rate  Theme 3  Image C based on the following questions: '[Visual appeal']])</f>
        <v>4</v>
      </c>
      <c r="AN17" s="11">
        <f>AVERAGE(Form_Responses_2[Rate  Theme 3  Image C based on the following questions: '[Raksha Bandhan relevance']])</f>
        <v>4.666666666666667</v>
      </c>
      <c r="AO17" s="11">
        <f>AVERAGE(Form_Responses_2[Rate  Theme 3  Image C based on the following questions: '[Text readability and accuracy']])</f>
        <v>3.4166666666666665</v>
      </c>
      <c r="AP17" s="11">
        <f>AVERAGE(Form_Responses_2[Rate  Theme 3  Image C based on the following questions: '[E-commerce usability']])</f>
        <v>4</v>
      </c>
      <c r="AQ17" s="11">
        <f>COUNTIF(Form_Responses_2[Which  Theme 3   image would you choose for SUVARNA JEWELS’ Sibling-Gifting Raksha Bandhan campaign? ], "Image A")</f>
        <v>10</v>
      </c>
      <c r="AR17" s="11"/>
      <c r="AS17" s="11"/>
      <c r="AT17" s="11"/>
      <c r="AU17" s="11"/>
      <c r="AV17" s="11"/>
      <c r="AW17" s="11"/>
    </row>
    <row r="18" spans="1:49" ht="12.75" x14ac:dyDescent="0.2">
      <c r="E18" s="10"/>
    </row>
    <row r="19" spans="1:49" ht="12.75" x14ac:dyDescent="0.2">
      <c r="E19" s="10"/>
    </row>
    <row r="20" spans="1:49" ht="12.75" x14ac:dyDescent="0.2">
      <c r="E20" s="10"/>
    </row>
    <row r="21" spans="1:49" ht="12.75" x14ac:dyDescent="0.2">
      <c r="E21" s="10"/>
    </row>
    <row r="22" spans="1:49" ht="12.75" x14ac:dyDescent="0.2">
      <c r="E22" s="10"/>
    </row>
    <row r="23" spans="1:49" ht="12.75" x14ac:dyDescent="0.2">
      <c r="E23" s="10"/>
    </row>
    <row r="24" spans="1:49" ht="12.75" x14ac:dyDescent="0.2">
      <c r="E24" s="10"/>
    </row>
    <row r="25" spans="1:49" ht="12.75" x14ac:dyDescent="0.2">
      <c r="E25" s="10"/>
    </row>
    <row r="26" spans="1:49" ht="12.75" x14ac:dyDescent="0.2">
      <c r="E26" s="10"/>
    </row>
    <row r="27" spans="1:49" ht="12.75" x14ac:dyDescent="0.2">
      <c r="E27" s="10"/>
    </row>
    <row r="28" spans="1:49" ht="12.75" x14ac:dyDescent="0.2">
      <c r="E28" s="10"/>
    </row>
    <row r="29" spans="1:49" ht="12.75" x14ac:dyDescent="0.2">
      <c r="E29" s="10"/>
    </row>
    <row r="30" spans="1:49" ht="12.75" x14ac:dyDescent="0.2">
      <c r="E30" s="10"/>
    </row>
    <row r="31" spans="1:49" ht="12.75" x14ac:dyDescent="0.2">
      <c r="E31" s="10"/>
    </row>
    <row r="32" spans="1:49" ht="12.75" x14ac:dyDescent="0.2">
      <c r="E32" s="10"/>
    </row>
    <row r="33" spans="5:5" ht="12.75" x14ac:dyDescent="0.2">
      <c r="E33" s="10"/>
    </row>
    <row r="34" spans="5:5" ht="12.75" x14ac:dyDescent="0.2">
      <c r="E34" s="10"/>
    </row>
    <row r="35" spans="5:5" ht="12.75" x14ac:dyDescent="0.2">
      <c r="E35" s="10"/>
    </row>
    <row r="36" spans="5:5" ht="12.75" x14ac:dyDescent="0.2">
      <c r="E36" s="10"/>
    </row>
    <row r="37" spans="5:5" ht="12.75" x14ac:dyDescent="0.2">
      <c r="E37" s="10"/>
    </row>
    <row r="38" spans="5:5" ht="12.75" x14ac:dyDescent="0.2">
      <c r="E38" s="10"/>
    </row>
    <row r="39" spans="5:5" ht="12.75" x14ac:dyDescent="0.2">
      <c r="E39" s="10"/>
    </row>
    <row r="40" spans="5:5" ht="12.75" x14ac:dyDescent="0.2">
      <c r="E40" s="10"/>
    </row>
    <row r="41" spans="5:5" ht="12.75" x14ac:dyDescent="0.2">
      <c r="E41" s="10"/>
    </row>
    <row r="42" spans="5:5" ht="12.75" x14ac:dyDescent="0.2">
      <c r="E42" s="10"/>
    </row>
    <row r="43" spans="5:5" ht="12.75" x14ac:dyDescent="0.2">
      <c r="E43" s="10"/>
    </row>
    <row r="44" spans="5:5" ht="12.75" x14ac:dyDescent="0.2">
      <c r="E44" s="10"/>
    </row>
    <row r="45" spans="5:5" ht="12.75" x14ac:dyDescent="0.2">
      <c r="E45" s="10"/>
    </row>
    <row r="46" spans="5:5" ht="12.75" x14ac:dyDescent="0.2">
      <c r="E46" s="10"/>
    </row>
    <row r="47" spans="5:5" ht="12.75" x14ac:dyDescent="0.2">
      <c r="E47" s="10"/>
    </row>
    <row r="48" spans="5:5" ht="12.75" x14ac:dyDescent="0.2">
      <c r="E48" s="10"/>
    </row>
    <row r="49" spans="5:5" ht="12.75" x14ac:dyDescent="0.2">
      <c r="E49" s="10"/>
    </row>
    <row r="50" spans="5:5" ht="12.75" x14ac:dyDescent="0.2">
      <c r="E50" s="10"/>
    </row>
    <row r="51" spans="5:5" ht="12.75" x14ac:dyDescent="0.2">
      <c r="E51" s="10"/>
    </row>
    <row r="52" spans="5:5" ht="12.75" x14ac:dyDescent="0.2">
      <c r="E52" s="10"/>
    </row>
    <row r="53" spans="5:5" ht="12.75" x14ac:dyDescent="0.2">
      <c r="E53" s="10"/>
    </row>
    <row r="54" spans="5:5" ht="12.75" x14ac:dyDescent="0.2">
      <c r="E54" s="10"/>
    </row>
    <row r="55" spans="5:5" ht="12.75" x14ac:dyDescent="0.2">
      <c r="E55" s="10"/>
    </row>
    <row r="56" spans="5:5" ht="12.75" x14ac:dyDescent="0.2">
      <c r="E56" s="10"/>
    </row>
    <row r="57" spans="5:5" ht="12.75" x14ac:dyDescent="0.2">
      <c r="E57" s="10"/>
    </row>
    <row r="58" spans="5:5" ht="12.75" x14ac:dyDescent="0.2">
      <c r="E58" s="10"/>
    </row>
    <row r="59" spans="5:5" ht="12.75" x14ac:dyDescent="0.2">
      <c r="E59" s="10"/>
    </row>
    <row r="60" spans="5:5" ht="12.75" x14ac:dyDescent="0.2">
      <c r="E60" s="10"/>
    </row>
    <row r="61" spans="5:5" ht="12.75" x14ac:dyDescent="0.2">
      <c r="E61" s="10"/>
    </row>
    <row r="62" spans="5:5" ht="12.75" x14ac:dyDescent="0.2">
      <c r="E62" s="10"/>
    </row>
    <row r="63" spans="5:5" ht="12.75" x14ac:dyDescent="0.2">
      <c r="E63" s="10"/>
    </row>
    <row r="64" spans="5:5" ht="12.75" x14ac:dyDescent="0.2">
      <c r="E64" s="10"/>
    </row>
    <row r="65" spans="5:5" ht="12.75" x14ac:dyDescent="0.2">
      <c r="E65" s="10"/>
    </row>
    <row r="66" spans="5:5" ht="12.75" x14ac:dyDescent="0.2">
      <c r="E66" s="10"/>
    </row>
    <row r="67" spans="5:5" ht="12.75" x14ac:dyDescent="0.2">
      <c r="E67" s="10"/>
    </row>
    <row r="68" spans="5:5" ht="12.75" x14ac:dyDescent="0.2">
      <c r="E68" s="10"/>
    </row>
    <row r="69" spans="5:5" ht="12.75" x14ac:dyDescent="0.2">
      <c r="E69" s="10"/>
    </row>
    <row r="70" spans="5:5" ht="12.75" x14ac:dyDescent="0.2">
      <c r="E70" s="10"/>
    </row>
    <row r="71" spans="5:5" ht="12.75" x14ac:dyDescent="0.2">
      <c r="E71" s="10"/>
    </row>
    <row r="72" spans="5:5" ht="12.75" x14ac:dyDescent="0.2">
      <c r="E72" s="10"/>
    </row>
    <row r="73" spans="5:5" ht="12.75" x14ac:dyDescent="0.2">
      <c r="E73" s="10"/>
    </row>
    <row r="74" spans="5:5" ht="12.75" x14ac:dyDescent="0.2">
      <c r="E74" s="10"/>
    </row>
    <row r="75" spans="5:5" ht="12.75" x14ac:dyDescent="0.2">
      <c r="E75" s="10"/>
    </row>
    <row r="76" spans="5:5" ht="12.75" x14ac:dyDescent="0.2">
      <c r="E76" s="10"/>
    </row>
    <row r="77" spans="5:5" ht="12.75" x14ac:dyDescent="0.2">
      <c r="E77" s="10"/>
    </row>
    <row r="78" spans="5:5" ht="12.75" x14ac:dyDescent="0.2">
      <c r="E78" s="10"/>
    </row>
    <row r="79" spans="5:5" ht="12.75" x14ac:dyDescent="0.2">
      <c r="E79" s="10"/>
    </row>
    <row r="80" spans="5:5" ht="12.75" x14ac:dyDescent="0.2">
      <c r="E80" s="10"/>
    </row>
    <row r="81" spans="5:5" ht="12.75" x14ac:dyDescent="0.2">
      <c r="E81" s="10"/>
    </row>
    <row r="82" spans="5:5" ht="12.75" x14ac:dyDescent="0.2">
      <c r="E82" s="10"/>
    </row>
    <row r="83" spans="5:5" ht="12.75" x14ac:dyDescent="0.2">
      <c r="E83" s="10"/>
    </row>
    <row r="84" spans="5:5" ht="12.75" x14ac:dyDescent="0.2">
      <c r="E84" s="10"/>
    </row>
    <row r="85" spans="5:5" ht="12.75" x14ac:dyDescent="0.2">
      <c r="E85" s="10"/>
    </row>
    <row r="86" spans="5:5" ht="12.75" x14ac:dyDescent="0.2">
      <c r="E86" s="10"/>
    </row>
    <row r="87" spans="5:5" ht="12.75" x14ac:dyDescent="0.2">
      <c r="E87" s="10"/>
    </row>
    <row r="88" spans="5:5" ht="12.75" x14ac:dyDescent="0.2">
      <c r="E88" s="10"/>
    </row>
    <row r="89" spans="5:5" ht="12.75" x14ac:dyDescent="0.2">
      <c r="E89" s="10"/>
    </row>
    <row r="90" spans="5:5" ht="12.75" x14ac:dyDescent="0.2">
      <c r="E90" s="10"/>
    </row>
    <row r="91" spans="5:5" ht="12.75" x14ac:dyDescent="0.2">
      <c r="E91" s="10"/>
    </row>
    <row r="92" spans="5:5" ht="12.75" x14ac:dyDescent="0.2">
      <c r="E92" s="10"/>
    </row>
    <row r="93" spans="5:5" ht="12.75" x14ac:dyDescent="0.2">
      <c r="E93" s="10"/>
    </row>
    <row r="94" spans="5:5" ht="12.75" x14ac:dyDescent="0.2">
      <c r="E94" s="10"/>
    </row>
    <row r="95" spans="5:5" ht="12.75" x14ac:dyDescent="0.2">
      <c r="E95" s="10"/>
    </row>
    <row r="96" spans="5:5" ht="12.75" x14ac:dyDescent="0.2">
      <c r="E96" s="10"/>
    </row>
    <row r="97" spans="5:5" ht="12.75" x14ac:dyDescent="0.2">
      <c r="E97" s="10"/>
    </row>
    <row r="98" spans="5:5" ht="12.75" x14ac:dyDescent="0.2">
      <c r="E98" s="10"/>
    </row>
    <row r="99" spans="5:5" ht="12.75" x14ac:dyDescent="0.2">
      <c r="E99" s="10"/>
    </row>
    <row r="100" spans="5:5" ht="12.75" x14ac:dyDescent="0.2">
      <c r="E100" s="10"/>
    </row>
    <row r="101" spans="5:5" ht="12.75" x14ac:dyDescent="0.2">
      <c r="E101" s="10"/>
    </row>
    <row r="102" spans="5:5" ht="12.75" x14ac:dyDescent="0.2">
      <c r="E102" s="10"/>
    </row>
    <row r="103" spans="5:5" ht="12.75" x14ac:dyDescent="0.2">
      <c r="E103" s="10"/>
    </row>
    <row r="104" spans="5:5" ht="12.75" x14ac:dyDescent="0.2">
      <c r="E104" s="10"/>
    </row>
    <row r="105" spans="5:5" ht="12.75" x14ac:dyDescent="0.2">
      <c r="E105" s="10"/>
    </row>
    <row r="106" spans="5:5" ht="12.75" x14ac:dyDescent="0.2">
      <c r="E106" s="10"/>
    </row>
    <row r="107" spans="5:5" ht="12.75" x14ac:dyDescent="0.2">
      <c r="E107" s="10"/>
    </row>
    <row r="108" spans="5:5" ht="12.75" x14ac:dyDescent="0.2">
      <c r="E108" s="10"/>
    </row>
    <row r="109" spans="5:5" ht="12.75" x14ac:dyDescent="0.2">
      <c r="E109" s="10"/>
    </row>
    <row r="110" spans="5:5" ht="12.75" x14ac:dyDescent="0.2">
      <c r="E110" s="10"/>
    </row>
    <row r="111" spans="5:5" ht="12.75" x14ac:dyDescent="0.2">
      <c r="E111" s="10"/>
    </row>
    <row r="112" spans="5:5" ht="12.75" x14ac:dyDescent="0.2">
      <c r="E112" s="10"/>
    </row>
    <row r="113" spans="5:5" ht="12.75" x14ac:dyDescent="0.2">
      <c r="E113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4"/>
  <sheetViews>
    <sheetView workbookViewId="0">
      <pane ySplit="1" topLeftCell="A8" activePane="bottomLeft" state="frozen"/>
      <selection pane="bottomLeft" activeCell="E14" sqref="E14"/>
    </sheetView>
  </sheetViews>
  <sheetFormatPr defaultColWidth="12.5703125" defaultRowHeight="15.75" customHeight="1" x14ac:dyDescent="0.2"/>
  <cols>
    <col min="2" max="2" width="22.28515625" customWidth="1"/>
    <col min="3" max="3" width="18.85546875" customWidth="1"/>
    <col min="4" max="4" width="20.85546875" customWidth="1"/>
    <col min="5" max="5" width="19.140625" customWidth="1"/>
    <col min="6" max="6" width="24.85546875" customWidth="1"/>
    <col min="7" max="7" width="17" customWidth="1"/>
  </cols>
  <sheetData>
    <row r="1" spans="1:25" ht="22.5" customHeight="1" x14ac:dyDescent="0.2">
      <c r="A1" s="9" t="s">
        <v>90</v>
      </c>
      <c r="B1" s="9" t="s">
        <v>70</v>
      </c>
      <c r="C1" s="9" t="s">
        <v>71</v>
      </c>
      <c r="D1" s="9" t="s">
        <v>72</v>
      </c>
      <c r="E1" s="9" t="s">
        <v>73</v>
      </c>
      <c r="F1" s="9" t="s">
        <v>74</v>
      </c>
      <c r="G1" s="9" t="s">
        <v>75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2.5" customHeight="1" x14ac:dyDescent="0.2">
      <c r="A2" s="5" t="s">
        <v>76</v>
      </c>
      <c r="B2" s="5" t="s">
        <v>77</v>
      </c>
      <c r="C2" s="14">
        <f>AVERAGE('Copy of Form responses 1'!E2:E13)</f>
        <v>4.083333333333333</v>
      </c>
      <c r="D2" s="14">
        <f>AVERAGE('Copy of Form responses 1'!F2:F13)</f>
        <v>3.75</v>
      </c>
      <c r="E2" s="14">
        <f>AVERAGE('Copy of Form responses 1'!G2:G13)</f>
        <v>4.25</v>
      </c>
      <c r="F2" s="14">
        <f>AVERAGE('Copy of Form responses 1'!H2:H13)</f>
        <v>4.25</v>
      </c>
      <c r="G2" s="14">
        <f t="shared" ref="G2:G10" si="0">AVERAGE(C2:F2)</f>
        <v>4.083333333333333</v>
      </c>
    </row>
    <row r="3" spans="1:25" ht="22.5" customHeight="1" x14ac:dyDescent="0.2">
      <c r="A3" s="5" t="s">
        <v>76</v>
      </c>
      <c r="B3" s="5" t="s">
        <v>78</v>
      </c>
      <c r="C3" s="14">
        <f>AVERAGE('Copy of Form responses 1'!I2:I13)</f>
        <v>4.166666666666667</v>
      </c>
      <c r="D3" s="14">
        <f>AVERAGE('Copy of Form responses 1'!J2:J13)</f>
        <v>4</v>
      </c>
      <c r="E3" s="14">
        <f>AVERAGE('Copy of Form responses 1'!K2:K13)</f>
        <v>4.25</v>
      </c>
      <c r="F3" s="14">
        <f>AVERAGE('Copy of Form responses 1'!L2:L13)</f>
        <v>4.166666666666667</v>
      </c>
      <c r="G3" s="14">
        <f t="shared" si="0"/>
        <v>4.1458333333333339</v>
      </c>
    </row>
    <row r="4" spans="1:25" ht="22.5" customHeight="1" x14ac:dyDescent="0.2">
      <c r="A4" s="5" t="s">
        <v>76</v>
      </c>
      <c r="B4" s="5" t="s">
        <v>79</v>
      </c>
      <c r="C4" s="14">
        <f>AVERAGE('Copy of Form responses 1'!M2:M13)</f>
        <v>4.583333333333333</v>
      </c>
      <c r="D4" s="14">
        <f>AVERAGE('Copy of Form responses 1'!N2:N13)</f>
        <v>4.166666666666667</v>
      </c>
      <c r="E4" s="14">
        <f>AVERAGE('Copy of Form responses 1'!O2:O13)</f>
        <v>4.5</v>
      </c>
      <c r="F4" s="14">
        <f>AVERAGE('Copy of Form responses 1'!P2:P13)</f>
        <v>4.25</v>
      </c>
      <c r="G4" s="14">
        <f t="shared" si="0"/>
        <v>4.375</v>
      </c>
    </row>
    <row r="5" spans="1:25" ht="22.5" customHeight="1" x14ac:dyDescent="0.2">
      <c r="A5" s="5" t="s">
        <v>80</v>
      </c>
      <c r="B5" s="5" t="s">
        <v>77</v>
      </c>
      <c r="C5" s="14">
        <f>AVERAGE('Copy of Form responses 1'!R2:R13)</f>
        <v>4.166666666666667</v>
      </c>
      <c r="D5" s="14">
        <f>AVERAGE('Copy of Form responses 1'!S2:S13)</f>
        <v>3.8333333333333335</v>
      </c>
      <c r="E5" s="14">
        <f>AVERAGE('Copy of Form responses 1'!T2:T13)</f>
        <v>4.25</v>
      </c>
      <c r="F5" s="14">
        <f>AVERAGE('Copy of Form responses 1'!U2:U13)</f>
        <v>4.083333333333333</v>
      </c>
      <c r="G5" s="14">
        <f t="shared" si="0"/>
        <v>4.083333333333333</v>
      </c>
    </row>
    <row r="6" spans="1:25" ht="22.5" customHeight="1" x14ac:dyDescent="0.2">
      <c r="A6" s="5" t="s">
        <v>80</v>
      </c>
      <c r="B6" s="5" t="s">
        <v>78</v>
      </c>
      <c r="C6" s="14">
        <f>AVERAGE('Copy of Form responses 1'!V2:V13)</f>
        <v>3.9166666666666665</v>
      </c>
      <c r="D6" s="14">
        <f>AVERAGE('Copy of Form responses 1'!W2:W13)</f>
        <v>3.6666666666666665</v>
      </c>
      <c r="E6" s="14">
        <f>AVERAGE('Copy of Form responses 1'!X2:X13)</f>
        <v>3.5</v>
      </c>
      <c r="F6" s="14">
        <f>AVERAGE('Copy of Form responses 1'!Y2:Y13)</f>
        <v>3.5833333333333335</v>
      </c>
      <c r="G6" s="14">
        <f t="shared" si="0"/>
        <v>3.6666666666666665</v>
      </c>
    </row>
    <row r="7" spans="1:25" ht="22.5" customHeight="1" x14ac:dyDescent="0.2">
      <c r="A7" s="5" t="s">
        <v>80</v>
      </c>
      <c r="B7" s="5" t="s">
        <v>79</v>
      </c>
      <c r="C7" s="14">
        <f>AVERAGE('Copy of Form responses 1'!Z2:Z13)</f>
        <v>3.9166666666666665</v>
      </c>
      <c r="D7" s="14">
        <f>AVERAGE('Copy of Form responses 1'!AA2:AA13)</f>
        <v>3.75</v>
      </c>
      <c r="E7" s="14">
        <f>AVERAGE('Copy of Form responses 1'!AB2:AB13)</f>
        <v>4</v>
      </c>
      <c r="F7" s="14">
        <f>AVERAGE('Copy of Form responses 1'!AC2:AC13)</f>
        <v>3.9166666666666665</v>
      </c>
      <c r="G7" s="14">
        <f t="shared" si="0"/>
        <v>3.895833333333333</v>
      </c>
    </row>
    <row r="8" spans="1:25" ht="22.5" customHeight="1" x14ac:dyDescent="0.2">
      <c r="A8" s="5" t="s">
        <v>81</v>
      </c>
      <c r="B8" s="5" t="s">
        <v>77</v>
      </c>
      <c r="C8" s="14">
        <f>AVERAGE('Copy of Form responses 1'!AE2:AE13)</f>
        <v>4.5</v>
      </c>
      <c r="D8" s="14">
        <f>AVERAGE('Copy of Form responses 1'!AF2:AF13)</f>
        <v>4.75</v>
      </c>
      <c r="E8" s="14">
        <f>AVERAGE('Copy of Form responses 1'!AG2:AG13)</f>
        <v>4.666666666666667</v>
      </c>
      <c r="F8" s="14">
        <f>AVERAGE('Copy of Form responses 1'!AH2:AH13)</f>
        <v>4.583333333333333</v>
      </c>
      <c r="G8" s="14">
        <f t="shared" si="0"/>
        <v>4.625</v>
      </c>
    </row>
    <row r="9" spans="1:25" ht="22.5" customHeight="1" x14ac:dyDescent="0.2">
      <c r="A9" s="5" t="s">
        <v>81</v>
      </c>
      <c r="B9" s="5" t="s">
        <v>78</v>
      </c>
      <c r="C9" s="14">
        <f>AVERAGE('Copy of Form responses 1'!AI2:AI13)</f>
        <v>3.75</v>
      </c>
      <c r="D9" s="14">
        <f>AVERAGE('Copy of Form responses 1'!AJ2:AJ13)</f>
        <v>4.583333333333333</v>
      </c>
      <c r="E9" s="14">
        <f>AVERAGE('Copy of Form responses 1'!AK2:AK13)</f>
        <v>4.166666666666667</v>
      </c>
      <c r="F9" s="14">
        <f>AVERAGE('Copy of Form responses 1'!AL2:AL13)</f>
        <v>4.083333333333333</v>
      </c>
      <c r="G9" s="14">
        <f t="shared" si="0"/>
        <v>4.145833333333333</v>
      </c>
    </row>
    <row r="10" spans="1:25" ht="22.5" customHeight="1" x14ac:dyDescent="0.2">
      <c r="A10" s="5" t="s">
        <v>81</v>
      </c>
      <c r="B10" s="5" t="s">
        <v>79</v>
      </c>
      <c r="C10" s="14">
        <f>AVERAGE('Copy of Form responses 1'!AM2:AM13)</f>
        <v>4</v>
      </c>
      <c r="D10" s="14">
        <f>AVERAGE('Copy of Form responses 1'!AN2:AN13)</f>
        <v>4.666666666666667</v>
      </c>
      <c r="E10" s="14">
        <f>AVERAGE('Copy of Form responses 1'!AO2:AO13)</f>
        <v>3.4166666666666665</v>
      </c>
      <c r="F10" s="14">
        <f>AVERAGE('Copy of Form responses 1'!AP2:AP13)</f>
        <v>4</v>
      </c>
      <c r="G10" s="14">
        <f t="shared" si="0"/>
        <v>4.0208333333333339</v>
      </c>
    </row>
    <row r="13" spans="1:25" ht="12.75" x14ac:dyDescent="0.2">
      <c r="A13" s="15" t="s">
        <v>82</v>
      </c>
      <c r="B13" s="13"/>
      <c r="C13" s="13"/>
      <c r="D13" s="13"/>
    </row>
    <row r="14" spans="1:25" ht="12.75" x14ac:dyDescent="0.2">
      <c r="A14" s="16" t="s">
        <v>69</v>
      </c>
      <c r="B14" s="16" t="s">
        <v>83</v>
      </c>
      <c r="C14" s="16" t="s">
        <v>84</v>
      </c>
      <c r="D14" s="16" t="s">
        <v>85</v>
      </c>
    </row>
    <row r="15" spans="1:25" ht="12.75" x14ac:dyDescent="0.2">
      <c r="A15" s="17" t="s">
        <v>76</v>
      </c>
      <c r="B15" s="18">
        <f>COUNTIF(Form_Responses_2[Which theme 1 image would you choose for SUVARNA JEWELS’ Raksha Bandhan campaign?  ],"Theme 1 Image A")</f>
        <v>5</v>
      </c>
      <c r="C15" s="18">
        <f>COUNTIF(Form_Responses_2[Which theme 1 image would you choose for SUVARNA JEWELS’ Raksha Bandhan campaign?  ],"Theme 1 Image B")</f>
        <v>3</v>
      </c>
      <c r="D15" s="18">
        <f>COUNTIF(Form_Responses_2[Which theme 1 image would you choose for SUVARNA JEWELS’ Raksha Bandhan campaign?  ],"Theme 1 Image C")</f>
        <v>4</v>
      </c>
    </row>
    <row r="16" spans="1:25" ht="12.75" x14ac:dyDescent="0.2">
      <c r="A16" s="17" t="s">
        <v>80</v>
      </c>
      <c r="B16" s="19">
        <f>COUNTIF(Form_Responses_2[Which  Theme 2  image would you choose for SUVARNA JEWELS’ Modern Raksha Bandhan jewellery campaign?], "Image A")</f>
        <v>7</v>
      </c>
      <c r="C16" s="19">
        <f>COUNTIF(Form_Responses_2[Which  Theme 2  image would you choose for SUVARNA JEWELS’ Modern Raksha Bandhan jewellery campaign?], "Image B")</f>
        <v>3</v>
      </c>
      <c r="D16" s="19">
        <f>COUNTIF(Form_Responses_2[Which  Theme 2  image would you choose for SUVARNA JEWELS’ Modern Raksha Bandhan jewellery campaign?], "Image C")</f>
        <v>2</v>
      </c>
    </row>
    <row r="17" spans="1:6" ht="12.75" x14ac:dyDescent="0.2">
      <c r="A17" s="17" t="s">
        <v>81</v>
      </c>
      <c r="B17" s="10">
        <f>COUNTIF(Form_Responses_2[Which  Theme 3   image would you choose for SUVARNA JEWELS’ Sibling-Gifting Raksha Bandhan campaign? ], "Image A")</f>
        <v>10</v>
      </c>
      <c r="C17" s="10">
        <f>COUNTIF(Form_Responses_2[Which  Theme 3   image would you choose for SUVARNA JEWELS’ Sibling-Gifting Raksha Bandhan campaign? ], "Image B")</f>
        <v>1</v>
      </c>
      <c r="D17" s="10">
        <f>COUNTIF(Form_Responses_2[Which  Theme 3   image would you choose for SUVARNA JEWELS’ Sibling-Gifting Raksha Bandhan campaign? ], "Image C")</f>
        <v>1</v>
      </c>
    </row>
    <row r="18" spans="1:6" ht="12.75" x14ac:dyDescent="0.2">
      <c r="A18" s="17" t="s">
        <v>86</v>
      </c>
      <c r="B18" s="18">
        <f t="shared" ref="B18:D18" si="1">SUM(B15:B17)</f>
        <v>22</v>
      </c>
      <c r="C18" s="18">
        <f t="shared" si="1"/>
        <v>7</v>
      </c>
      <c r="D18" s="18">
        <f t="shared" si="1"/>
        <v>7</v>
      </c>
    </row>
    <row r="20" spans="1:6" ht="12.75" x14ac:dyDescent="0.2">
      <c r="A20" s="20" t="s">
        <v>87</v>
      </c>
      <c r="B20" s="21"/>
    </row>
    <row r="21" spans="1:6" ht="12.75" x14ac:dyDescent="0.2">
      <c r="A21" s="22" t="s">
        <v>88</v>
      </c>
      <c r="B21" s="23" t="s">
        <v>71</v>
      </c>
      <c r="C21" s="23" t="s">
        <v>72</v>
      </c>
      <c r="D21" s="23" t="s">
        <v>73</v>
      </c>
      <c r="E21" s="23" t="s">
        <v>74</v>
      </c>
      <c r="F21" s="23" t="s">
        <v>89</v>
      </c>
    </row>
    <row r="22" spans="1:6" ht="12.75" x14ac:dyDescent="0.2">
      <c r="A22" s="17" t="s">
        <v>83</v>
      </c>
      <c r="B22" s="24">
        <f t="shared" ref="B22:E24" si="2">AVERAGE(C2,C5,C8)</f>
        <v>4.25</v>
      </c>
      <c r="C22" s="24">
        <f t="shared" si="2"/>
        <v>4.1111111111111116</v>
      </c>
      <c r="D22" s="24">
        <f t="shared" si="2"/>
        <v>4.3888888888888893</v>
      </c>
      <c r="E22" s="24">
        <f t="shared" si="2"/>
        <v>4.3055555555555545</v>
      </c>
      <c r="F22" s="24">
        <f t="shared" ref="F22:F24" si="3">AVERAGE(B22:E22)</f>
        <v>4.2638888888888884</v>
      </c>
    </row>
    <row r="23" spans="1:6" ht="12.75" x14ac:dyDescent="0.2">
      <c r="A23" s="17" t="s">
        <v>84</v>
      </c>
      <c r="B23" s="24">
        <f t="shared" si="2"/>
        <v>3.9444444444444446</v>
      </c>
      <c r="C23" s="24">
        <f t="shared" si="2"/>
        <v>4.083333333333333</v>
      </c>
      <c r="D23" s="24">
        <f t="shared" si="2"/>
        <v>3.9722222222222228</v>
      </c>
      <c r="E23" s="24">
        <f t="shared" si="2"/>
        <v>3.9444444444444442</v>
      </c>
      <c r="F23" s="24">
        <f t="shared" si="3"/>
        <v>3.9861111111111116</v>
      </c>
    </row>
    <row r="24" spans="1:6" ht="12.75" x14ac:dyDescent="0.2">
      <c r="A24" s="17" t="s">
        <v>85</v>
      </c>
      <c r="B24" s="24">
        <f t="shared" si="2"/>
        <v>4.166666666666667</v>
      </c>
      <c r="C24" s="24">
        <f t="shared" si="2"/>
        <v>4.1944444444444446</v>
      </c>
      <c r="D24" s="24">
        <f t="shared" si="2"/>
        <v>3.9722222222222219</v>
      </c>
      <c r="E24" s="24">
        <f t="shared" si="2"/>
        <v>4.0555555555555554</v>
      </c>
      <c r="F24" s="24">
        <f t="shared" si="3"/>
        <v>4.0972222222222214</v>
      </c>
    </row>
  </sheetData>
  <conditionalFormatting sqref="A13:D13">
    <cfRule type="notContainsBlanks" dxfId="0" priority="1">
      <formula>LEN(TRIM(A13))&gt;0</formula>
    </cfRule>
  </conditionalFormatting>
  <dataValidations count="1">
    <dataValidation type="custom" allowBlank="1" showDropDown="1" sqref="C2:G10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8" sqref="H18"/>
    </sheetView>
  </sheetViews>
  <sheetFormatPr defaultRowHeight="12.75" x14ac:dyDescent="0.2"/>
  <sheetData>
    <row r="1" spans="1:7" x14ac:dyDescent="0.2">
      <c r="A1" s="26" t="s">
        <v>90</v>
      </c>
      <c r="B1" s="26" t="s">
        <v>70</v>
      </c>
      <c r="C1" s="26" t="s">
        <v>71</v>
      </c>
      <c r="D1" s="26" t="s">
        <v>72</v>
      </c>
      <c r="E1" s="26" t="s">
        <v>73</v>
      </c>
      <c r="F1" s="26" t="s">
        <v>74</v>
      </c>
      <c r="G1" s="26" t="s">
        <v>75</v>
      </c>
    </row>
    <row r="2" spans="1:7" x14ac:dyDescent="0.2">
      <c r="A2" s="5" t="s">
        <v>76</v>
      </c>
      <c r="B2" s="5" t="s">
        <v>77</v>
      </c>
      <c r="C2" s="14">
        <f>AVERAGE('Copy of Form responses 1'!E2:E13)</f>
        <v>4.083333333333333</v>
      </c>
      <c r="D2" s="14">
        <f>AVERAGE('Copy of Form responses 1'!F2:F13)</f>
        <v>3.75</v>
      </c>
      <c r="E2" s="14">
        <f>AVERAGE('Copy of Form responses 1'!G2:G13)</f>
        <v>4.25</v>
      </c>
      <c r="F2" s="14">
        <f>AVERAGE('Copy of Form responses 1'!H2:H13)</f>
        <v>4.25</v>
      </c>
      <c r="G2" s="14">
        <f t="shared" ref="G2:G10" si="0">AVERAGE(C2:F2)</f>
        <v>4.083333333333333</v>
      </c>
    </row>
    <row r="3" spans="1:7" x14ac:dyDescent="0.2">
      <c r="A3" s="5" t="s">
        <v>76</v>
      </c>
      <c r="B3" s="5" t="s">
        <v>78</v>
      </c>
      <c r="C3" s="14">
        <f>AVERAGE('Copy of Form responses 1'!I2:I13)</f>
        <v>4.166666666666667</v>
      </c>
      <c r="D3" s="14">
        <f>AVERAGE('Copy of Form responses 1'!J2:J13)</f>
        <v>4</v>
      </c>
      <c r="E3" s="14">
        <f>AVERAGE('Copy of Form responses 1'!K2:K13)</f>
        <v>4.25</v>
      </c>
      <c r="F3" s="14">
        <f>AVERAGE('Copy of Form responses 1'!L2:L13)</f>
        <v>4.166666666666667</v>
      </c>
      <c r="G3" s="14">
        <f t="shared" si="0"/>
        <v>4.1458333333333339</v>
      </c>
    </row>
    <row r="4" spans="1:7" x14ac:dyDescent="0.2">
      <c r="A4" s="5" t="s">
        <v>76</v>
      </c>
      <c r="B4" s="5" t="s">
        <v>79</v>
      </c>
      <c r="C4" s="14">
        <f>AVERAGE('Copy of Form responses 1'!M2:M13)</f>
        <v>4.583333333333333</v>
      </c>
      <c r="D4" s="14">
        <f>AVERAGE('Copy of Form responses 1'!N2:N13)</f>
        <v>4.166666666666667</v>
      </c>
      <c r="E4" s="14">
        <f>AVERAGE('Copy of Form responses 1'!O2:O13)</f>
        <v>4.5</v>
      </c>
      <c r="F4" s="14">
        <f>AVERAGE('Copy of Form responses 1'!P2:P13)</f>
        <v>4.25</v>
      </c>
      <c r="G4" s="14">
        <f t="shared" si="0"/>
        <v>4.375</v>
      </c>
    </row>
    <row r="5" spans="1:7" x14ac:dyDescent="0.2">
      <c r="A5" s="5" t="s">
        <v>80</v>
      </c>
      <c r="B5" s="5" t="s">
        <v>77</v>
      </c>
      <c r="C5" s="14">
        <f>AVERAGE('Copy of Form responses 1'!R2:R13)</f>
        <v>4.166666666666667</v>
      </c>
      <c r="D5" s="14">
        <f>AVERAGE('Copy of Form responses 1'!S2:S13)</f>
        <v>3.8333333333333335</v>
      </c>
      <c r="E5" s="14">
        <f>AVERAGE('Copy of Form responses 1'!T2:T13)</f>
        <v>4.25</v>
      </c>
      <c r="F5" s="14">
        <f>AVERAGE('Copy of Form responses 1'!U2:U13)</f>
        <v>4.083333333333333</v>
      </c>
      <c r="G5" s="14">
        <f t="shared" si="0"/>
        <v>4.083333333333333</v>
      </c>
    </row>
    <row r="6" spans="1:7" x14ac:dyDescent="0.2">
      <c r="A6" s="5" t="s">
        <v>80</v>
      </c>
      <c r="B6" s="5" t="s">
        <v>78</v>
      </c>
      <c r="C6" s="14">
        <f>AVERAGE('Copy of Form responses 1'!V2:V13)</f>
        <v>3.9166666666666665</v>
      </c>
      <c r="D6" s="14">
        <f>AVERAGE('Copy of Form responses 1'!W2:W13)</f>
        <v>3.6666666666666665</v>
      </c>
      <c r="E6" s="14">
        <f>AVERAGE('Copy of Form responses 1'!X2:X13)</f>
        <v>3.5</v>
      </c>
      <c r="F6" s="14">
        <f>AVERAGE('Copy of Form responses 1'!Y2:Y13)</f>
        <v>3.5833333333333335</v>
      </c>
      <c r="G6" s="14">
        <f t="shared" si="0"/>
        <v>3.6666666666666665</v>
      </c>
    </row>
    <row r="7" spans="1:7" x14ac:dyDescent="0.2">
      <c r="A7" s="5" t="s">
        <v>80</v>
      </c>
      <c r="B7" s="5" t="s">
        <v>79</v>
      </c>
      <c r="C7" s="14">
        <f>AVERAGE('Copy of Form responses 1'!Z2:Z13)</f>
        <v>3.9166666666666665</v>
      </c>
      <c r="D7" s="14">
        <f>AVERAGE('Copy of Form responses 1'!AA2:AA13)</f>
        <v>3.75</v>
      </c>
      <c r="E7" s="14">
        <f>AVERAGE('Copy of Form responses 1'!AB2:AB13)</f>
        <v>4</v>
      </c>
      <c r="F7" s="14">
        <f>AVERAGE('Copy of Form responses 1'!AC2:AC13)</f>
        <v>3.9166666666666665</v>
      </c>
      <c r="G7" s="14">
        <f t="shared" si="0"/>
        <v>3.895833333333333</v>
      </c>
    </row>
    <row r="8" spans="1:7" x14ac:dyDescent="0.2">
      <c r="A8" s="5" t="s">
        <v>81</v>
      </c>
      <c r="B8" s="5" t="s">
        <v>77</v>
      </c>
      <c r="C8" s="14">
        <f>AVERAGE('Copy of Form responses 1'!AE2:AE13)</f>
        <v>4.5</v>
      </c>
      <c r="D8" s="14">
        <f>AVERAGE('Copy of Form responses 1'!AF2:AF13)</f>
        <v>4.75</v>
      </c>
      <c r="E8" s="14">
        <f>AVERAGE('Copy of Form responses 1'!AG2:AG13)</f>
        <v>4.666666666666667</v>
      </c>
      <c r="F8" s="14">
        <f>AVERAGE('Copy of Form responses 1'!AH2:AH13)</f>
        <v>4.583333333333333</v>
      </c>
      <c r="G8" s="14">
        <f t="shared" si="0"/>
        <v>4.625</v>
      </c>
    </row>
    <row r="9" spans="1:7" x14ac:dyDescent="0.2">
      <c r="A9" s="5" t="s">
        <v>81</v>
      </c>
      <c r="B9" s="5" t="s">
        <v>78</v>
      </c>
      <c r="C9" s="14">
        <f>AVERAGE('Copy of Form responses 1'!AI2:AI13)</f>
        <v>3.75</v>
      </c>
      <c r="D9" s="14">
        <f>AVERAGE('Copy of Form responses 1'!AJ2:AJ13)</f>
        <v>4.583333333333333</v>
      </c>
      <c r="E9" s="14">
        <f>AVERAGE('Copy of Form responses 1'!AK2:AK13)</f>
        <v>4.166666666666667</v>
      </c>
      <c r="F9" s="14">
        <f>AVERAGE('Copy of Form responses 1'!AL2:AL13)</f>
        <v>4.083333333333333</v>
      </c>
      <c r="G9" s="14">
        <f t="shared" si="0"/>
        <v>4.145833333333333</v>
      </c>
    </row>
    <row r="10" spans="1:7" x14ac:dyDescent="0.2">
      <c r="A10" s="5" t="s">
        <v>81</v>
      </c>
      <c r="B10" s="5" t="s">
        <v>79</v>
      </c>
      <c r="C10" s="14">
        <f>AVERAGE('Copy of Form responses 1'!AM2:AM13)</f>
        <v>4</v>
      </c>
      <c r="D10" s="14">
        <f>AVERAGE('Copy of Form responses 1'!AN2:AN13)</f>
        <v>4.666666666666667</v>
      </c>
      <c r="E10" s="14">
        <f>AVERAGE('Copy of Form responses 1'!AO2:AO13)</f>
        <v>3.4166666666666665</v>
      </c>
      <c r="F10" s="14">
        <f>AVERAGE('Copy of Form responses 1'!AP2:AP13)</f>
        <v>4</v>
      </c>
      <c r="G10" s="14">
        <f t="shared" si="0"/>
        <v>4.0208333333333339</v>
      </c>
    </row>
  </sheetData>
  <dataValidations count="1">
    <dataValidation type="custom" allowBlank="1" showDropDown="1" sqref="C2:G10">
      <formula1>AND(ISNUMBER(C2),(NOT(OR(NOT(ISERROR(DATEVALUE(C2))), AND(ISNUMBER(C2), LEFT(CELL("format", C2))="D")))))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1" sqref="F1"/>
    </sheetView>
  </sheetViews>
  <sheetFormatPr defaultRowHeight="12.75" x14ac:dyDescent="0.2"/>
  <sheetData>
    <row r="1" spans="1:6" x14ac:dyDescent="0.2">
      <c r="A1" t="s">
        <v>88</v>
      </c>
      <c r="B1" t="s">
        <v>71</v>
      </c>
      <c r="C1" t="s">
        <v>72</v>
      </c>
      <c r="D1" t="s">
        <v>73</v>
      </c>
      <c r="E1" t="s">
        <v>74</v>
      </c>
      <c r="F1" t="s">
        <v>89</v>
      </c>
    </row>
    <row r="2" spans="1:6" x14ac:dyDescent="0.2">
      <c r="A2" t="s">
        <v>83</v>
      </c>
      <c r="B2" s="25">
        <v>4.25</v>
      </c>
      <c r="C2" s="25">
        <v>4.1111111111111116</v>
      </c>
      <c r="D2" s="25">
        <v>4.3888888888888893</v>
      </c>
      <c r="E2" s="25">
        <v>4.3055555555555545</v>
      </c>
      <c r="F2" s="25">
        <v>4.2638888888888884</v>
      </c>
    </row>
    <row r="3" spans="1:6" x14ac:dyDescent="0.2">
      <c r="A3" t="s">
        <v>84</v>
      </c>
      <c r="B3" s="25">
        <v>3.9444444444444446</v>
      </c>
      <c r="C3" s="25">
        <v>4.083333333333333</v>
      </c>
      <c r="D3" s="25">
        <v>3.9722222222222228</v>
      </c>
      <c r="E3" s="25">
        <v>3.9444444444444442</v>
      </c>
      <c r="F3" s="25">
        <v>3.9861111111111116</v>
      </c>
    </row>
    <row r="4" spans="1:6" x14ac:dyDescent="0.2">
      <c r="A4" t="s">
        <v>85</v>
      </c>
      <c r="B4" s="25">
        <v>4.166666666666667</v>
      </c>
      <c r="C4" s="25">
        <v>4.1944444444444446</v>
      </c>
      <c r="D4" s="25">
        <v>3.9722222222222219</v>
      </c>
      <c r="E4" s="25">
        <v>4.0555555555555554</v>
      </c>
      <c r="F4" s="25">
        <v>4.0972222222222214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6" sqref="D16"/>
    </sheetView>
  </sheetViews>
  <sheetFormatPr defaultRowHeight="12.75" x14ac:dyDescent="0.2"/>
  <sheetData>
    <row r="1" spans="1:4" x14ac:dyDescent="0.2">
      <c r="A1" s="16" t="s">
        <v>69</v>
      </c>
      <c r="B1" s="16" t="s">
        <v>83</v>
      </c>
      <c r="C1" s="16" t="s">
        <v>84</v>
      </c>
      <c r="D1" s="16" t="s">
        <v>85</v>
      </c>
    </row>
    <row r="2" spans="1:4" x14ac:dyDescent="0.2">
      <c r="A2" s="17" t="s">
        <v>76</v>
      </c>
      <c r="B2" s="18">
        <f>COUNTIF(Form_Responses_2[Which theme 1 image would you choose for SUVARNA JEWELS’ Raksha Bandhan campaign?  ],"Theme 1 Image A")</f>
        <v>5</v>
      </c>
      <c r="C2" s="18">
        <f>COUNTIF(Form_Responses_2[Which theme 1 image would you choose for SUVARNA JEWELS’ Raksha Bandhan campaign?  ],"Theme 1 Image B")</f>
        <v>3</v>
      </c>
      <c r="D2" s="18">
        <f>COUNTIF(Form_Responses_2[Which theme 1 image would you choose for SUVARNA JEWELS’ Raksha Bandhan campaign?  ],"Theme 1 Image C")</f>
        <v>4</v>
      </c>
    </row>
    <row r="3" spans="1:4" x14ac:dyDescent="0.2">
      <c r="A3" s="17" t="s">
        <v>80</v>
      </c>
      <c r="B3" s="19">
        <f>COUNTIF(Form_Responses_2[Which  Theme 2  image would you choose for SUVARNA JEWELS’ Modern Raksha Bandhan jewellery campaign?], "Image A")</f>
        <v>7</v>
      </c>
      <c r="C3" s="19">
        <f>COUNTIF(Form_Responses_2[Which  Theme 2  image would you choose for SUVARNA JEWELS’ Modern Raksha Bandhan jewellery campaign?], "Image B")</f>
        <v>3</v>
      </c>
      <c r="D3" s="19">
        <f>COUNTIF(Form_Responses_2[Which  Theme 2  image would you choose for SUVARNA JEWELS’ Modern Raksha Bandhan jewellery campaign?], "Image C")</f>
        <v>2</v>
      </c>
    </row>
    <row r="4" spans="1:4" x14ac:dyDescent="0.2">
      <c r="A4" s="17" t="s">
        <v>81</v>
      </c>
      <c r="B4" s="18">
        <f>COUNTIF(Form_Responses_2[Which  Theme 3   image would you choose for SUVARNA JEWELS’ Sibling-Gifting Raksha Bandhan campaign? ], "Image A")</f>
        <v>10</v>
      </c>
      <c r="C4" s="18">
        <f>COUNTIF(Form_Responses_2[Which  Theme 3   image would you choose for SUVARNA JEWELS’ Sibling-Gifting Raksha Bandhan campaign? ], "Image B")</f>
        <v>1</v>
      </c>
      <c r="D4" s="18">
        <f>COUNTIF(Form_Responses_2[Which  Theme 3   image would you choose for SUVARNA JEWELS’ Sibling-Gifting Raksha Bandhan campaign? ], "Image C")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>
      <selection activeCell="M6" sqref="M6"/>
    </sheetView>
  </sheetViews>
  <sheetFormatPr defaultColWidth="12.5703125" defaultRowHeight="15.7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responses 1</vt:lpstr>
      <vt:lpstr>Copy of Form responses 1</vt:lpstr>
      <vt:lpstr>Analysis</vt:lpstr>
      <vt:lpstr>Model Analysis</vt:lpstr>
      <vt:lpstr>Overall Analysis</vt:lpstr>
      <vt:lpstr>Theme wise Analysis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</dc:creator>
  <cp:lastModifiedBy>shrishti</cp:lastModifiedBy>
  <dcterms:created xsi:type="dcterms:W3CDTF">2026-07-11T15:59:29Z</dcterms:created>
  <dcterms:modified xsi:type="dcterms:W3CDTF">2026-09-01T11:35:12Z</dcterms:modified>
</cp:coreProperties>
</file>